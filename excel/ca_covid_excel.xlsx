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302D9\EXCELCNV\3b59cada-2898-445e-ba62-8bef16c9cd3b\"/>
    </mc:Choice>
  </mc:AlternateContent>
  <xr:revisionPtr revIDLastSave="768" documentId="8_{5CF2C0E3-7D9D-45E3-81D3-D0848BB11B81}" xr6:coauthVersionLast="47" xr6:coauthVersionMax="47" xr10:uidLastSave="{AD0D49A1-FB1A-4B57-BB65-0DDC2491972A}"/>
  <bookViews>
    <workbookView xWindow="-60" yWindow="-60" windowWidth="15480" windowHeight="11640" firstSheet="1" activeTab="3" xr2:uid="{85C7B0E0-E73B-4A60-8DD5-F632189BB8F4}"/>
  </bookViews>
  <sheets>
    <sheet name="County Data" sheetId="1" r:id="rId1"/>
    <sheet name="COVID Overview" sheetId="2" r:id="rId2"/>
    <sheet name="Healthcare Capacity" sheetId="3" r:id="rId3"/>
    <sheet name="Socioeconomic Risk" sheetId="4" r:id="rId4"/>
    <sheet name="Structural &amp; SVI Risk" sheetId="5" r:id="rId5"/>
    <sheet name="Chart Data" sheetId="6" r:id="rId6"/>
  </sheets>
  <calcPr calcId="191028"/>
  <pivotCaches>
    <pivotCache cacheId="9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" i="1" l="1" a="1"/>
  <c r="AA29" i="1"/>
  <c r="AA50" i="1" a="1"/>
  <c r="AA50" i="1"/>
  <c r="AA2" i="1" a="1"/>
  <c r="AA2" i="1"/>
  <c r="AA3" i="1" a="1"/>
  <c r="AA3" i="1"/>
  <c r="AA4" i="1" a="1"/>
  <c r="AA4" i="1"/>
  <c r="AA5" i="1" a="1"/>
  <c r="AA5" i="1"/>
  <c r="AA6" i="1" a="1"/>
  <c r="AA6" i="1"/>
  <c r="AA7" i="1" a="1"/>
  <c r="AA7" i="1"/>
  <c r="AA8" i="1" a="1"/>
  <c r="AA8" i="1"/>
  <c r="AA9" i="1" a="1"/>
  <c r="AA9" i="1"/>
  <c r="AA10" i="1" a="1"/>
  <c r="AA10" i="1"/>
  <c r="AA11" i="1" a="1"/>
  <c r="AA11" i="1"/>
  <c r="AA12" i="1" a="1"/>
  <c r="AA12" i="1"/>
  <c r="AA13" i="1" a="1"/>
  <c r="AA13" i="1"/>
  <c r="AA14" i="1" a="1"/>
  <c r="AA14" i="1"/>
  <c r="AA15" i="1" a="1"/>
  <c r="AA15" i="1"/>
  <c r="AA16" i="1" a="1"/>
  <c r="AA16" i="1"/>
  <c r="AA17" i="1" a="1"/>
  <c r="AA17" i="1"/>
  <c r="AA18" i="1" a="1"/>
  <c r="AA18" i="1"/>
  <c r="AA19" i="1" a="1"/>
  <c r="AA19" i="1"/>
  <c r="AA20" i="1" a="1"/>
  <c r="AA20" i="1"/>
  <c r="AA21" i="1" a="1"/>
  <c r="AA21" i="1"/>
  <c r="AA22" i="1" a="1"/>
  <c r="AA22" i="1"/>
  <c r="AA23" i="1" a="1"/>
  <c r="AA23" i="1"/>
  <c r="AA24" i="1" a="1"/>
  <c r="AA24" i="1"/>
  <c r="AA25" i="1" a="1"/>
  <c r="AA25" i="1"/>
  <c r="AA26" i="1" a="1"/>
  <c r="AA26" i="1"/>
  <c r="AA27" i="1" a="1"/>
  <c r="AA27" i="1"/>
  <c r="AA28" i="1" a="1"/>
  <c r="AA28" i="1"/>
  <c r="AA30" i="1" a="1"/>
  <c r="AA30" i="1"/>
  <c r="AA31" i="1" a="1"/>
  <c r="AA31" i="1"/>
  <c r="AA32" i="1" a="1"/>
  <c r="AA32" i="1"/>
  <c r="AA33" i="1" a="1"/>
  <c r="AA33" i="1"/>
  <c r="AA34" i="1" a="1"/>
  <c r="AA34" i="1"/>
  <c r="AA35" i="1" a="1"/>
  <c r="AA35" i="1"/>
  <c r="AA36" i="1" a="1"/>
  <c r="AA36" i="1"/>
  <c r="AA37" i="1" a="1"/>
  <c r="AA37" i="1"/>
  <c r="AA38" i="1" a="1"/>
  <c r="AA38" i="1"/>
  <c r="AA39" i="1" a="1"/>
  <c r="AA39" i="1"/>
  <c r="AA40" i="1" a="1"/>
  <c r="AA40" i="1"/>
  <c r="AA41" i="1" a="1"/>
  <c r="AA41" i="1"/>
  <c r="AA42" i="1" a="1"/>
  <c r="AA42" i="1"/>
  <c r="AA43" i="1" a="1"/>
  <c r="AA43" i="1"/>
  <c r="AA44" i="1" a="1"/>
  <c r="AA44" i="1"/>
  <c r="AA45" i="1" a="1"/>
  <c r="AA45" i="1"/>
  <c r="AA46" i="1" a="1"/>
  <c r="AA46" i="1"/>
  <c r="AA47" i="1" a="1"/>
  <c r="AA47" i="1"/>
  <c r="AA48" i="1" a="1"/>
  <c r="AA48" i="1"/>
  <c r="AA49" i="1" a="1"/>
  <c r="AA49" i="1"/>
  <c r="AA51" i="1" a="1"/>
  <c r="AA51" i="1"/>
  <c r="AA52" i="1" a="1"/>
  <c r="AA52" i="1"/>
  <c r="AA53" i="1" a="1"/>
  <c r="AA53" i="1"/>
  <c r="AA54" i="1" a="1"/>
  <c r="AA54" i="1"/>
  <c r="AA55" i="1" a="1"/>
  <c r="AA55" i="1"/>
  <c r="AA56" i="1" a="1"/>
  <c r="AA56" i="1"/>
  <c r="AA57" i="1" a="1"/>
  <c r="AA57" i="1"/>
  <c r="AA58" i="1" a="1"/>
  <c r="AA58" i="1"/>
  <c r="AA59" i="1" a="1"/>
  <c r="AA5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<sst xmlns="http://schemas.openxmlformats.org/spreadsheetml/2006/main" count="630" uniqueCount="112">
  <si>
    <t>Geo ID</t>
  </si>
  <si>
    <t>County</t>
  </si>
  <si>
    <t>Population</t>
  </si>
  <si>
    <t>Total Cases</t>
  </si>
  <si>
    <t>Total Deaths</t>
  </si>
  <si>
    <t>Cases per 100K</t>
  </si>
  <si>
    <t>Deaths per 100K</t>
  </si>
  <si>
    <t>Total ED Hospitals</t>
  </si>
  <si>
    <t>Total Urgent Cares</t>
  </si>
  <si>
    <t>Urgent Care per 100K</t>
  </si>
  <si>
    <t>Beds per 100K</t>
  </si>
  <si>
    <t>Primary Care Physicians per 100K</t>
  </si>
  <si>
    <t>ED Hospitals per 100K</t>
  </si>
  <si>
    <t>Median Urgent Care Distance</t>
  </si>
  <si>
    <t>Median HH Income</t>
  </si>
  <si>
    <t>Percent Elderly</t>
  </si>
  <si>
    <t>Percent Diabetes</t>
  </si>
  <si>
    <t>Percent Obesity</t>
  </si>
  <si>
    <t>Percent Poverty</t>
  </si>
  <si>
    <t>Percent Uninsured</t>
  </si>
  <si>
    <t>Risk Score</t>
  </si>
  <si>
    <t>Population Density</t>
  </si>
  <si>
    <t>SVI Socioeconomic</t>
  </si>
  <si>
    <t>SVI Household</t>
  </si>
  <si>
    <t>SVI Minority</t>
  </si>
  <si>
    <t>SVI Overall</t>
  </si>
  <si>
    <t>Risk Category</t>
  </si>
  <si>
    <t>Los Angeles County</t>
  </si>
  <si>
    <t>San Diego County</t>
  </si>
  <si>
    <t>Orange County</t>
  </si>
  <si>
    <t>Riverside County</t>
  </si>
  <si>
    <t>San Bernardino County</t>
  </si>
  <si>
    <t>Santa Clara County</t>
  </si>
  <si>
    <t>Alameda County</t>
  </si>
  <si>
    <t>Sacramento County</t>
  </si>
  <si>
    <t>Contra Costa County</t>
  </si>
  <si>
    <t>Fresno County</t>
  </si>
  <si>
    <t>Kern County</t>
  </si>
  <si>
    <t>San Francisco County</t>
  </si>
  <si>
    <t>Ventura County</t>
  </si>
  <si>
    <t>San Mateo County</t>
  </si>
  <si>
    <t>San Joaquin County</t>
  </si>
  <si>
    <t>Stanislaus County</t>
  </si>
  <si>
    <t>Sonoma County</t>
  </si>
  <si>
    <t>Tulare County</t>
  </si>
  <si>
    <t>Santa Barbara County</t>
  </si>
  <si>
    <t>Solano County</t>
  </si>
  <si>
    <t>Monterey County</t>
  </si>
  <si>
    <t>Placer County</t>
  </si>
  <si>
    <t>San Luis Obispo County</t>
  </si>
  <si>
    <t>Santa Cruz County</t>
  </si>
  <si>
    <t>Merced County</t>
  </si>
  <si>
    <t>Marin County</t>
  </si>
  <si>
    <t>Butte County</t>
  </si>
  <si>
    <t>Yolo County</t>
  </si>
  <si>
    <t>El Dorado County</t>
  </si>
  <si>
    <t>Imperial County</t>
  </si>
  <si>
    <t>Shasta County</t>
  </si>
  <si>
    <t>Madera County</t>
  </si>
  <si>
    <t>Kings County</t>
  </si>
  <si>
    <t>Napa County</t>
  </si>
  <si>
    <t>Humboldt County</t>
  </si>
  <si>
    <t>Nevada County</t>
  </si>
  <si>
    <t>Sutter County</t>
  </si>
  <si>
    <t>Mendocino County</t>
  </si>
  <si>
    <t>Yuba County</t>
  </si>
  <si>
    <t>Lake County</t>
  </si>
  <si>
    <t>Tehama County</t>
  </si>
  <si>
    <t>San Benito County</t>
  </si>
  <si>
    <t>Tuolumne County</t>
  </si>
  <si>
    <t>Calaveras County</t>
  </si>
  <si>
    <t>Siskiyou County</t>
  </si>
  <si>
    <t>Amador County</t>
  </si>
  <si>
    <t>Lassen County</t>
  </si>
  <si>
    <t>Glenn County</t>
  </si>
  <si>
    <t>Del Norte County</t>
  </si>
  <si>
    <t>Colusa County</t>
  </si>
  <si>
    <t>Plumas County</t>
  </si>
  <si>
    <t>Inyo County</t>
  </si>
  <si>
    <t>Mariposa County</t>
  </si>
  <si>
    <t>Mono County</t>
  </si>
  <si>
    <t>Trinity County</t>
  </si>
  <si>
    <t>Modoc County</t>
  </si>
  <si>
    <t>Sierra County</t>
  </si>
  <si>
    <t>Alpine County</t>
  </si>
  <si>
    <t>Total Population</t>
  </si>
  <si>
    <t>Recorded Cases</t>
  </si>
  <si>
    <t>Recorded Deaths</t>
  </si>
  <si>
    <t xml:space="preserve">Cases per 100K </t>
  </si>
  <si>
    <t xml:space="preserve">Deaths per 100K </t>
  </si>
  <si>
    <t>*ED - Emergency Department</t>
  </si>
  <si>
    <t>Total ED* Hospitals</t>
  </si>
  <si>
    <t xml:space="preserve">Total Urgent Cares </t>
  </si>
  <si>
    <t xml:space="preserve">Urgent Care per 100K </t>
  </si>
  <si>
    <t xml:space="preserve">Beds per 100K </t>
  </si>
  <si>
    <t>ED* Hospitals per 100K</t>
  </si>
  <si>
    <t xml:space="preserve">Primary Care Physicians per 100K </t>
  </si>
  <si>
    <t xml:space="preserve">Median HH Income </t>
  </si>
  <si>
    <t xml:space="preserve">Percent Elderly </t>
  </si>
  <si>
    <t xml:space="preserve">Percent Diabetes </t>
  </si>
  <si>
    <t xml:space="preserve">Percent Obesity </t>
  </si>
  <si>
    <t xml:space="preserve">Percent Poverty </t>
  </si>
  <si>
    <t>Sum of Percent Uninsured</t>
  </si>
  <si>
    <t xml:space="preserve">Risk Score </t>
  </si>
  <si>
    <t>Population Density (p/sq mi)</t>
  </si>
  <si>
    <t xml:space="preserve">SVI Socioeconomic </t>
  </si>
  <si>
    <t xml:space="preserve">SVI Household </t>
  </si>
  <si>
    <t xml:space="preserve">SVI Minority </t>
  </si>
  <si>
    <t xml:space="preserve">SVI Overall </t>
  </si>
  <si>
    <t>Sum of Total Deaths</t>
  </si>
  <si>
    <t>Sum of Deaths per 100K</t>
  </si>
  <si>
    <t>Sum of Cases per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</si>
</sst>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[ca_covid_2020_final.xlsx]Chart Data!PivotTable3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Recorded COVID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Data'!$A$4:$A$13</c:f>
              <c:strCache>
                <c:ptCount val="10"/>
                <c:pt idx="0">
                  <c:v>Alameda County</c:v>
                </c:pt>
                <c:pt idx="1">
                  <c:v>Fresno County</c:v>
                </c:pt>
                <c:pt idx="2">
                  <c:v>Sacramento County</c:v>
                </c:pt>
                <c:pt idx="3">
                  <c:v>Kern County</c:v>
                </c:pt>
                <c:pt idx="4">
                  <c:v>Santa Clara County</c:v>
                </c:pt>
                <c:pt idx="5">
                  <c:v>San Diego County</c:v>
                </c:pt>
                <c:pt idx="6">
                  <c:v>Orange County</c:v>
                </c:pt>
                <c:pt idx="7">
                  <c:v>Riverside County</c:v>
                </c:pt>
                <c:pt idx="8">
                  <c:v>San Bernardino County</c:v>
                </c:pt>
                <c:pt idx="9">
                  <c:v>Los Angeles County</c:v>
                </c:pt>
              </c:strCache>
            </c:strRef>
          </c:cat>
          <c:val>
            <c:numRef>
              <c:f>'Chart Data'!$B$4:$B$13</c:f>
              <c:numCache>
                <c:formatCode>General</c:formatCode>
                <c:ptCount val="10"/>
                <c:pt idx="0">
                  <c:v>51610</c:v>
                </c:pt>
                <c:pt idx="1">
                  <c:v>65399</c:v>
                </c:pt>
                <c:pt idx="2">
                  <c:v>65539</c:v>
                </c:pt>
                <c:pt idx="3">
                  <c:v>68968</c:v>
                </c:pt>
                <c:pt idx="4">
                  <c:v>69878</c:v>
                </c:pt>
                <c:pt idx="5">
                  <c:v>155657</c:v>
                </c:pt>
                <c:pt idx="6">
                  <c:v>166195</c:v>
                </c:pt>
                <c:pt idx="7">
                  <c:v>180552</c:v>
                </c:pt>
                <c:pt idx="8">
                  <c:v>194376</c:v>
                </c:pt>
                <c:pt idx="9">
                  <c:v>770914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9-4F94-8294-8A7594C8E7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02668040"/>
        <c:axId val="2002699784"/>
      </c:barChart>
      <c:catAx>
        <c:axId val="2002668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99784"/>
        <c:crosses val="autoZero"/>
        <c:auto val="1"/>
        <c:lblAlgn val="ctr"/>
        <c:lblOffset val="100"/>
        <c:noMultiLvlLbl val="0"/>
      </c:catAx>
      <c:valAx>
        <c:axId val="20026997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02668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[ca_covid_2020_final.xlsx]Chart Data!PivotTable4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Recorded COVID Deaths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Data'!$M$5:$M$14</c:f>
              <c:strCache>
                <c:ptCount val="10"/>
                <c:pt idx="0">
                  <c:v>Fresno County</c:v>
                </c:pt>
                <c:pt idx="1">
                  <c:v>San Joaquin County</c:v>
                </c:pt>
                <c:pt idx="2">
                  <c:v>Alameda County</c:v>
                </c:pt>
                <c:pt idx="3">
                  <c:v>Santa Clara County</c:v>
                </c:pt>
                <c:pt idx="4">
                  <c:v>Sacramento County</c:v>
                </c:pt>
                <c:pt idx="5">
                  <c:v>San Bernardino County</c:v>
                </c:pt>
                <c:pt idx="6">
                  <c:v>San Diego County</c:v>
                </c:pt>
                <c:pt idx="7">
                  <c:v>Orange County</c:v>
                </c:pt>
                <c:pt idx="8">
                  <c:v>Riverside County</c:v>
                </c:pt>
                <c:pt idx="9">
                  <c:v>Los Angeles County</c:v>
                </c:pt>
              </c:strCache>
            </c:strRef>
          </c:cat>
          <c:val>
            <c:numRef>
              <c:f>'Chart Data'!$N$5:$N$14</c:f>
              <c:numCache>
                <c:formatCode>General</c:formatCode>
                <c:ptCount val="10"/>
                <c:pt idx="0">
                  <c:v>646</c:v>
                </c:pt>
                <c:pt idx="1">
                  <c:v>651</c:v>
                </c:pt>
                <c:pt idx="2">
                  <c:v>657</c:v>
                </c:pt>
                <c:pt idx="3">
                  <c:v>710</c:v>
                </c:pt>
                <c:pt idx="4">
                  <c:v>857</c:v>
                </c:pt>
                <c:pt idx="5">
                  <c:v>1445</c:v>
                </c:pt>
                <c:pt idx="6">
                  <c:v>1534</c:v>
                </c:pt>
                <c:pt idx="7">
                  <c:v>1875</c:v>
                </c:pt>
                <c:pt idx="8">
                  <c:v>1985</c:v>
                </c:pt>
                <c:pt idx="9">
                  <c:v>10345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2-4447-B6A6-FE70583CE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8776839"/>
        <c:axId val="1558782983"/>
      </c:barChart>
      <c:catAx>
        <c:axId val="1558776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82983"/>
        <c:crosses val="autoZero"/>
        <c:auto val="1"/>
        <c:lblAlgn val="ctr"/>
        <c:lblOffset val="100"/>
        <c:noMultiLvlLbl val="0"/>
      </c:catAx>
      <c:valAx>
        <c:axId val="15587829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8776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[ca_covid_2020_final.xlsx]Chart Data!PivotTable10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 Mortality and Healthcare Accessibility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Data'!$B$82</c:f>
              <c:strCache>
                <c:ptCount val="1"/>
                <c:pt idx="0">
                  <c:v>Sum of Deaths per 100K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'Chart Data'!$A$83:$A$92</c:f>
              <c:strCache>
                <c:ptCount val="10"/>
                <c:pt idx="0">
                  <c:v>Sonoma County</c:v>
                </c:pt>
                <c:pt idx="1">
                  <c:v>Contra Costa County</c:v>
                </c:pt>
                <c:pt idx="2">
                  <c:v>Santa Cruz County</c:v>
                </c:pt>
                <c:pt idx="3">
                  <c:v>San Mateo County</c:v>
                </c:pt>
                <c:pt idx="4">
                  <c:v>Santa Clara County</c:v>
                </c:pt>
                <c:pt idx="5">
                  <c:v>Alameda County</c:v>
                </c:pt>
                <c:pt idx="6">
                  <c:v>Yolo County</c:v>
                </c:pt>
                <c:pt idx="7">
                  <c:v>Placer County</c:v>
                </c:pt>
                <c:pt idx="8">
                  <c:v>Marin County</c:v>
                </c:pt>
                <c:pt idx="9">
                  <c:v>San Francisco County</c:v>
                </c:pt>
              </c:strCache>
            </c:strRef>
          </c:cat>
          <c:val>
            <c:numRef>
              <c:f>'Chart Data'!$B$83:$B$92</c:f>
              <c:numCache>
                <c:formatCode>General</c:formatCode>
                <c:ptCount val="10"/>
                <c:pt idx="0">
                  <c:v>38.21</c:v>
                </c:pt>
                <c:pt idx="1">
                  <c:v>29.24</c:v>
                </c:pt>
                <c:pt idx="2">
                  <c:v>30.2</c:v>
                </c:pt>
                <c:pt idx="3">
                  <c:v>29.52</c:v>
                </c:pt>
                <c:pt idx="4">
                  <c:v>36.74</c:v>
                </c:pt>
                <c:pt idx="5">
                  <c:v>39.57</c:v>
                </c:pt>
                <c:pt idx="6">
                  <c:v>50.81</c:v>
                </c:pt>
                <c:pt idx="7">
                  <c:v>32.46</c:v>
                </c:pt>
                <c:pt idx="8">
                  <c:v>53.51</c:v>
                </c:pt>
                <c:pt idx="9">
                  <c:v>21.18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F-4722-B8FB-4A01F975C34E}"/>
            </c:ext>
          </c:extLst>
        </c:ser>
        <c:ser>
          <c:idx val="1"/>
          <c:order val="1"/>
          <c:tx>
            <c:strRef>
              <c:f>'Chart Data'!$C$82</c:f>
              <c:strCache>
                <c:ptCount val="1"/>
                <c:pt idx="0">
                  <c:v>Primary Care Physicians per 100K 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'Chart Data'!$A$83:$A$92</c:f>
              <c:strCache>
                <c:ptCount val="10"/>
                <c:pt idx="0">
                  <c:v>Sonoma County</c:v>
                </c:pt>
                <c:pt idx="1">
                  <c:v>Contra Costa County</c:v>
                </c:pt>
                <c:pt idx="2">
                  <c:v>Santa Cruz County</c:v>
                </c:pt>
                <c:pt idx="3">
                  <c:v>San Mateo County</c:v>
                </c:pt>
                <c:pt idx="4">
                  <c:v>Santa Clara County</c:v>
                </c:pt>
                <c:pt idx="5">
                  <c:v>Alameda County</c:v>
                </c:pt>
                <c:pt idx="6">
                  <c:v>Yolo County</c:v>
                </c:pt>
                <c:pt idx="7">
                  <c:v>Placer County</c:v>
                </c:pt>
                <c:pt idx="8">
                  <c:v>Marin County</c:v>
                </c:pt>
                <c:pt idx="9">
                  <c:v>San Francisco County</c:v>
                </c:pt>
              </c:strCache>
            </c:strRef>
          </c:cat>
          <c:val>
            <c:numRef>
              <c:f>'Chart Data'!$C$83:$C$92</c:f>
              <c:numCache>
                <c:formatCode>General</c:formatCode>
                <c:ptCount val="10"/>
                <c:pt idx="0">
                  <c:v>101</c:v>
                </c:pt>
                <c:pt idx="1">
                  <c:v>103</c:v>
                </c:pt>
                <c:pt idx="2">
                  <c:v>104</c:v>
                </c:pt>
                <c:pt idx="3">
                  <c:v>107</c:v>
                </c:pt>
                <c:pt idx="4">
                  <c:v>107</c:v>
                </c:pt>
                <c:pt idx="5">
                  <c:v>113</c:v>
                </c:pt>
                <c:pt idx="6">
                  <c:v>122</c:v>
                </c:pt>
                <c:pt idx="7">
                  <c:v>124</c:v>
                </c:pt>
                <c:pt idx="8">
                  <c:v>147</c:v>
                </c:pt>
                <c:pt idx="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F-4722-B8FB-4A01F975C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036858887"/>
        <c:axId val="1036877319"/>
      </c:barChart>
      <c:catAx>
        <c:axId val="1036858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877319"/>
        <c:crosses val="autoZero"/>
        <c:auto val="1"/>
        <c:lblAlgn val="ctr"/>
        <c:lblOffset val="100"/>
        <c:noMultiLvlLbl val="0"/>
      </c:catAx>
      <c:valAx>
        <c:axId val="1036877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858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 Mortality per 100K vs. County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Data'!R20</c:f>
              <c:strCache>
                <c:ptCount val="1"/>
                <c:pt idx="0">
                  <c:v>Deaths per 100K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44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F36-4D19-BA36-DA30D641F94E}"/>
              </c:ext>
            </c:extLst>
          </c:dPt>
          <c:dPt>
            <c:idx val="45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F36-4D19-BA36-DA30D641F94E}"/>
              </c:ext>
            </c:extLst>
          </c:dPt>
          <c:dLbls>
            <c:delete val="1"/>
          </c:dLbls>
          <c:trendline>
            <c:spPr>
              <a:ln w="19050" cap="rnd">
                <a:solidFill>
                  <a:srgbClr val="80808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'Chart Data'!$Q$21:$Q$78</c:f>
              <c:numCache>
                <c:formatCode>General</c:formatCode>
                <c:ptCount val="58"/>
                <c:pt idx="2">
                  <c:v>14.62</c:v>
                </c:pt>
                <c:pt idx="3">
                  <c:v>18.71</c:v>
                </c:pt>
                <c:pt idx="4">
                  <c:v>15.89</c:v>
                </c:pt>
                <c:pt idx="5">
                  <c:v>21.2</c:v>
                </c:pt>
                <c:pt idx="6">
                  <c:v>17.8</c:v>
                </c:pt>
                <c:pt idx="7">
                  <c:v>15.3</c:v>
                </c:pt>
                <c:pt idx="8">
                  <c:v>14.92</c:v>
                </c:pt>
                <c:pt idx="9">
                  <c:v>15.17</c:v>
                </c:pt>
                <c:pt idx="10">
                  <c:v>14.86</c:v>
                </c:pt>
                <c:pt idx="11">
                  <c:v>19.43</c:v>
                </c:pt>
                <c:pt idx="12">
                  <c:v>19.89</c:v>
                </c:pt>
                <c:pt idx="13">
                  <c:v>17.25</c:v>
                </c:pt>
                <c:pt idx="14">
                  <c:v>14.77</c:v>
                </c:pt>
                <c:pt idx="15">
                  <c:v>11.79</c:v>
                </c:pt>
                <c:pt idx="16">
                  <c:v>15.3</c:v>
                </c:pt>
                <c:pt idx="17">
                  <c:v>12.7</c:v>
                </c:pt>
                <c:pt idx="18">
                  <c:v>16.05</c:v>
                </c:pt>
                <c:pt idx="19">
                  <c:v>14.46</c:v>
                </c:pt>
                <c:pt idx="20">
                  <c:v>12.86</c:v>
                </c:pt>
                <c:pt idx="21">
                  <c:v>13.91</c:v>
                </c:pt>
                <c:pt idx="22">
                  <c:v>15.73</c:v>
                </c:pt>
                <c:pt idx="23">
                  <c:v>14.07</c:v>
                </c:pt>
                <c:pt idx="24">
                  <c:v>14.6</c:v>
                </c:pt>
                <c:pt idx="25">
                  <c:v>15.7</c:v>
                </c:pt>
                <c:pt idx="26">
                  <c:v>19.649999999999999</c:v>
                </c:pt>
                <c:pt idx="27">
                  <c:v>15</c:v>
                </c:pt>
                <c:pt idx="28">
                  <c:v>13.29</c:v>
                </c:pt>
                <c:pt idx="29">
                  <c:v>18.63</c:v>
                </c:pt>
                <c:pt idx="30">
                  <c:v>15.51</c:v>
                </c:pt>
                <c:pt idx="31">
                  <c:v>15.3</c:v>
                </c:pt>
                <c:pt idx="32">
                  <c:v>14.7</c:v>
                </c:pt>
                <c:pt idx="33">
                  <c:v>20.91</c:v>
                </c:pt>
                <c:pt idx="34">
                  <c:v>16.100000000000001</c:v>
                </c:pt>
                <c:pt idx="35">
                  <c:v>18.52</c:v>
                </c:pt>
                <c:pt idx="36">
                  <c:v>20.309999999999999</c:v>
                </c:pt>
                <c:pt idx="37">
                  <c:v>15.23</c:v>
                </c:pt>
                <c:pt idx="38">
                  <c:v>16.5</c:v>
                </c:pt>
                <c:pt idx="39">
                  <c:v>14.7</c:v>
                </c:pt>
                <c:pt idx="40">
                  <c:v>15.07</c:v>
                </c:pt>
                <c:pt idx="41">
                  <c:v>18.84</c:v>
                </c:pt>
                <c:pt idx="42">
                  <c:v>14.8</c:v>
                </c:pt>
                <c:pt idx="43">
                  <c:v>15.55</c:v>
                </c:pt>
                <c:pt idx="44">
                  <c:v>18.100000000000001</c:v>
                </c:pt>
                <c:pt idx="45">
                  <c:v>16.89</c:v>
                </c:pt>
                <c:pt idx="46">
                  <c:v>16.55</c:v>
                </c:pt>
                <c:pt idx="47">
                  <c:v>16.75</c:v>
                </c:pt>
                <c:pt idx="48">
                  <c:v>15.72</c:v>
                </c:pt>
                <c:pt idx="49">
                  <c:v>16.03</c:v>
                </c:pt>
                <c:pt idx="50">
                  <c:v>17.260000000000002</c:v>
                </c:pt>
                <c:pt idx="51">
                  <c:v>14</c:v>
                </c:pt>
                <c:pt idx="52">
                  <c:v>16.190000000000001</c:v>
                </c:pt>
                <c:pt idx="53">
                  <c:v>19.72</c:v>
                </c:pt>
                <c:pt idx="54">
                  <c:v>16.66</c:v>
                </c:pt>
                <c:pt idx="55">
                  <c:v>19.100000000000001</c:v>
                </c:pt>
                <c:pt idx="56">
                  <c:v>20.79</c:v>
                </c:pt>
                <c:pt idx="57">
                  <c:v>12.83</c:v>
                </c:pt>
              </c:numCache>
            </c:numRef>
          </c:xVal>
          <c:yVal>
            <c:numRef>
              <c:f>'Chart Data'!$R$21:$R$78</c:f>
              <c:numCache>
                <c:formatCode>General</c:formatCode>
                <c:ptCount val="58"/>
                <c:pt idx="0">
                  <c:v>24.81</c:v>
                </c:pt>
                <c:pt idx="1">
                  <c:v>50.81</c:v>
                </c:pt>
                <c:pt idx="2">
                  <c:v>30.98</c:v>
                </c:pt>
                <c:pt idx="3">
                  <c:v>38.909999999999997</c:v>
                </c:pt>
                <c:pt idx="4">
                  <c:v>87.82</c:v>
                </c:pt>
                <c:pt idx="5">
                  <c:v>31.43</c:v>
                </c:pt>
                <c:pt idx="6">
                  <c:v>56.38</c:v>
                </c:pt>
                <c:pt idx="7">
                  <c:v>54.05</c:v>
                </c:pt>
                <c:pt idx="8">
                  <c:v>113.09</c:v>
                </c:pt>
                <c:pt idx="9">
                  <c:v>38.21</c:v>
                </c:pt>
                <c:pt idx="10">
                  <c:v>22.1</c:v>
                </c:pt>
                <c:pt idx="11">
                  <c:v>25.22</c:v>
                </c:pt>
                <c:pt idx="12">
                  <c:v>0</c:v>
                </c:pt>
                <c:pt idx="13">
                  <c:v>43.48</c:v>
                </c:pt>
                <c:pt idx="14">
                  <c:v>30.2</c:v>
                </c:pt>
                <c:pt idx="15">
                  <c:v>36.74</c:v>
                </c:pt>
                <c:pt idx="16">
                  <c:v>35.93</c:v>
                </c:pt>
                <c:pt idx="17">
                  <c:v>29.52</c:v>
                </c:pt>
                <c:pt idx="18">
                  <c:v>29.03</c:v>
                </c:pt>
                <c:pt idx="19">
                  <c:v>87.58</c:v>
                </c:pt>
                <c:pt idx="20">
                  <c:v>21.18</c:v>
                </c:pt>
                <c:pt idx="21">
                  <c:v>46.19</c:v>
                </c:pt>
                <c:pt idx="22">
                  <c:v>67.180000000000007</c:v>
                </c:pt>
                <c:pt idx="23">
                  <c:v>48.2</c:v>
                </c:pt>
                <c:pt idx="24">
                  <c:v>56.11</c:v>
                </c:pt>
                <c:pt idx="25">
                  <c:v>82.2</c:v>
                </c:pt>
                <c:pt idx="26">
                  <c:v>5.36</c:v>
                </c:pt>
                <c:pt idx="27">
                  <c:v>32.46</c:v>
                </c:pt>
                <c:pt idx="28">
                  <c:v>59.07</c:v>
                </c:pt>
                <c:pt idx="29">
                  <c:v>50.32</c:v>
                </c:pt>
                <c:pt idx="30">
                  <c:v>20.02</c:v>
                </c:pt>
                <c:pt idx="31">
                  <c:v>44.42</c:v>
                </c:pt>
                <c:pt idx="32">
                  <c:v>27.87</c:v>
                </c:pt>
                <c:pt idx="33">
                  <c:v>11.27</c:v>
                </c:pt>
                <c:pt idx="34">
                  <c:v>95.91</c:v>
                </c:pt>
                <c:pt idx="35">
                  <c:v>29.69</c:v>
                </c:pt>
                <c:pt idx="36">
                  <c:v>22.97</c:v>
                </c:pt>
                <c:pt idx="37">
                  <c:v>53.51</c:v>
                </c:pt>
                <c:pt idx="38">
                  <c:v>75.28</c:v>
                </c:pt>
                <c:pt idx="39">
                  <c:v>102.39</c:v>
                </c:pt>
                <c:pt idx="40">
                  <c:v>29.11</c:v>
                </c:pt>
                <c:pt idx="41">
                  <c:v>35.880000000000003</c:v>
                </c:pt>
                <c:pt idx="42">
                  <c:v>73.5</c:v>
                </c:pt>
                <c:pt idx="43">
                  <c:v>57.7</c:v>
                </c:pt>
                <c:pt idx="44">
                  <c:v>111.93</c:v>
                </c:pt>
                <c:pt idx="45">
                  <c:v>230.66</c:v>
                </c:pt>
                <c:pt idx="46">
                  <c:v>16.12</c:v>
                </c:pt>
                <c:pt idx="47">
                  <c:v>50.13</c:v>
                </c:pt>
                <c:pt idx="48">
                  <c:v>65.569999999999993</c:v>
                </c:pt>
                <c:pt idx="49">
                  <c:v>11.66</c:v>
                </c:pt>
                <c:pt idx="50">
                  <c:v>7.31</c:v>
                </c:pt>
                <c:pt idx="51">
                  <c:v>29.24</c:v>
                </c:pt>
                <c:pt idx="52">
                  <c:v>37.07</c:v>
                </c:pt>
                <c:pt idx="53">
                  <c:v>48.16</c:v>
                </c:pt>
                <c:pt idx="54">
                  <c:v>41.98</c:v>
                </c:pt>
                <c:pt idx="55">
                  <c:v>62.29</c:v>
                </c:pt>
                <c:pt idx="56">
                  <c:v>0</c:v>
                </c:pt>
                <c:pt idx="57">
                  <c:v>39.57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36-4D19-BA36-DA30D641F9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1036878343"/>
        <c:axId val="182604296"/>
      </c:scatterChart>
      <c:valAx>
        <c:axId val="1036878343"/>
        <c:scaling>
          <c:orientation val="minMax"/>
          <c:min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04296"/>
        <c:crosses val="autoZero"/>
        <c:crossBetween val="midCat"/>
      </c:valAx>
      <c:valAx>
        <c:axId val="182604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Deaths per 100K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8592957130358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878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 Cases per 100K vs. SVI Overall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Data'!H98</c:f>
              <c:strCache>
                <c:ptCount val="1"/>
                <c:pt idx="0">
                  <c:v>Cases per 100K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305-4271-9D2F-A69C2B6FA818}"/>
              </c:ext>
            </c:extLst>
          </c:dPt>
          <c:dPt>
            <c:idx val="32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305-4271-9D2F-A69C2B6FA818}"/>
              </c:ext>
            </c:extLst>
          </c:dPt>
          <c:trendline>
            <c:spPr>
              <a:ln w="19050" cap="rnd">
                <a:solidFill>
                  <a:srgbClr val="80808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'Chart Data'!$G$99:$G$156</c:f>
              <c:numCache>
                <c:formatCode>General</c:formatCode>
                <c:ptCount val="58"/>
                <c:pt idx="0">
                  <c:v>0.99</c:v>
                </c:pt>
                <c:pt idx="1">
                  <c:v>0.97</c:v>
                </c:pt>
                <c:pt idx="2">
                  <c:v>0.97</c:v>
                </c:pt>
                <c:pt idx="3">
                  <c:v>0.96</c:v>
                </c:pt>
                <c:pt idx="4">
                  <c:v>0.96</c:v>
                </c:pt>
                <c:pt idx="5">
                  <c:v>0.95</c:v>
                </c:pt>
                <c:pt idx="6">
                  <c:v>0.95</c:v>
                </c:pt>
                <c:pt idx="7">
                  <c:v>0.93</c:v>
                </c:pt>
                <c:pt idx="8">
                  <c:v>0.93</c:v>
                </c:pt>
                <c:pt idx="9">
                  <c:v>0.93</c:v>
                </c:pt>
                <c:pt idx="10">
                  <c:v>0.91</c:v>
                </c:pt>
                <c:pt idx="11">
                  <c:v>0.91</c:v>
                </c:pt>
                <c:pt idx="12">
                  <c:v>0.9</c:v>
                </c:pt>
                <c:pt idx="13">
                  <c:v>0.89</c:v>
                </c:pt>
                <c:pt idx="14">
                  <c:v>0.89</c:v>
                </c:pt>
                <c:pt idx="15">
                  <c:v>0.86</c:v>
                </c:pt>
                <c:pt idx="16">
                  <c:v>0.86</c:v>
                </c:pt>
                <c:pt idx="17">
                  <c:v>0.86</c:v>
                </c:pt>
                <c:pt idx="18">
                  <c:v>0.85</c:v>
                </c:pt>
                <c:pt idx="19">
                  <c:v>0.85</c:v>
                </c:pt>
                <c:pt idx="20">
                  <c:v>0.84</c:v>
                </c:pt>
                <c:pt idx="21">
                  <c:v>0.83</c:v>
                </c:pt>
                <c:pt idx="22">
                  <c:v>0.83</c:v>
                </c:pt>
                <c:pt idx="23">
                  <c:v>0.83</c:v>
                </c:pt>
                <c:pt idx="24">
                  <c:v>0.83</c:v>
                </c:pt>
                <c:pt idx="25">
                  <c:v>0.77</c:v>
                </c:pt>
                <c:pt idx="26">
                  <c:v>0.77</c:v>
                </c:pt>
                <c:pt idx="27">
                  <c:v>0.76</c:v>
                </c:pt>
                <c:pt idx="28">
                  <c:v>0.75</c:v>
                </c:pt>
                <c:pt idx="29">
                  <c:v>0.75</c:v>
                </c:pt>
                <c:pt idx="30">
                  <c:v>0.73</c:v>
                </c:pt>
                <c:pt idx="31">
                  <c:v>0.7</c:v>
                </c:pt>
                <c:pt idx="32">
                  <c:v>0.64</c:v>
                </c:pt>
                <c:pt idx="33">
                  <c:v>0.63</c:v>
                </c:pt>
                <c:pt idx="34">
                  <c:v>0.62</c:v>
                </c:pt>
                <c:pt idx="35">
                  <c:v>0.61</c:v>
                </c:pt>
                <c:pt idx="36">
                  <c:v>0.61</c:v>
                </c:pt>
                <c:pt idx="37">
                  <c:v>0.6</c:v>
                </c:pt>
                <c:pt idx="38">
                  <c:v>0.59</c:v>
                </c:pt>
                <c:pt idx="39">
                  <c:v>0.56999999999999995</c:v>
                </c:pt>
                <c:pt idx="40">
                  <c:v>0.56000000000000005</c:v>
                </c:pt>
                <c:pt idx="41">
                  <c:v>0.53</c:v>
                </c:pt>
                <c:pt idx="42">
                  <c:v>0.52</c:v>
                </c:pt>
                <c:pt idx="43">
                  <c:v>0.51</c:v>
                </c:pt>
                <c:pt idx="44">
                  <c:v>0.5</c:v>
                </c:pt>
                <c:pt idx="45">
                  <c:v>0.47</c:v>
                </c:pt>
                <c:pt idx="46">
                  <c:v>0.45</c:v>
                </c:pt>
                <c:pt idx="47">
                  <c:v>0.43</c:v>
                </c:pt>
                <c:pt idx="48">
                  <c:v>0.42</c:v>
                </c:pt>
                <c:pt idx="49">
                  <c:v>0.4</c:v>
                </c:pt>
                <c:pt idx="50">
                  <c:v>0.37</c:v>
                </c:pt>
                <c:pt idx="51">
                  <c:v>0.33</c:v>
                </c:pt>
                <c:pt idx="52">
                  <c:v>0.32</c:v>
                </c:pt>
                <c:pt idx="53">
                  <c:v>0.28000000000000003</c:v>
                </c:pt>
                <c:pt idx="54">
                  <c:v>0.26</c:v>
                </c:pt>
                <c:pt idx="55">
                  <c:v>0.23</c:v>
                </c:pt>
                <c:pt idx="56">
                  <c:v>0.22</c:v>
                </c:pt>
                <c:pt idx="57">
                  <c:v>0.18</c:v>
                </c:pt>
              </c:numCache>
            </c:numRef>
          </c:xVal>
          <c:yVal>
            <c:numRef>
              <c:f>'Chart Data'!$H$99:$H$156</c:f>
              <c:numCache>
                <c:formatCode>General</c:formatCode>
                <c:ptCount val="58"/>
                <c:pt idx="0">
                  <c:v>12256.05</c:v>
                </c:pt>
                <c:pt idx="1">
                  <c:v>7772.3</c:v>
                </c:pt>
                <c:pt idx="2">
                  <c:v>7172</c:v>
                </c:pt>
                <c:pt idx="3">
                  <c:v>6637.89</c:v>
                </c:pt>
                <c:pt idx="4">
                  <c:v>2919.75</c:v>
                </c:pt>
                <c:pt idx="5">
                  <c:v>10766.04</c:v>
                </c:pt>
                <c:pt idx="6">
                  <c:v>2775.04</c:v>
                </c:pt>
                <c:pt idx="7">
                  <c:v>4645.4799999999996</c:v>
                </c:pt>
                <c:pt idx="8">
                  <c:v>7233.71</c:v>
                </c:pt>
                <c:pt idx="9">
                  <c:v>6749.32</c:v>
                </c:pt>
                <c:pt idx="10">
                  <c:v>9036.77</c:v>
                </c:pt>
                <c:pt idx="11">
                  <c:v>5087.62</c:v>
                </c:pt>
                <c:pt idx="12">
                  <c:v>2831.03</c:v>
                </c:pt>
                <c:pt idx="13">
                  <c:v>5217.3599999999997</c:v>
                </c:pt>
                <c:pt idx="14">
                  <c:v>6132.42</c:v>
                </c:pt>
                <c:pt idx="15">
                  <c:v>7630.01</c:v>
                </c:pt>
                <c:pt idx="16">
                  <c:v>1964.48</c:v>
                </c:pt>
                <c:pt idx="17">
                  <c:v>6759.59</c:v>
                </c:pt>
                <c:pt idx="18">
                  <c:v>6888.35</c:v>
                </c:pt>
                <c:pt idx="19">
                  <c:v>6410.78</c:v>
                </c:pt>
                <c:pt idx="20">
                  <c:v>3905.25</c:v>
                </c:pt>
                <c:pt idx="21">
                  <c:v>3230.93</c:v>
                </c:pt>
                <c:pt idx="22">
                  <c:v>7476.38</c:v>
                </c:pt>
                <c:pt idx="23">
                  <c:v>1291.51</c:v>
                </c:pt>
                <c:pt idx="24">
                  <c:v>1441.37</c:v>
                </c:pt>
                <c:pt idx="25">
                  <c:v>4291.16</c:v>
                </c:pt>
                <c:pt idx="26">
                  <c:v>3616.49</c:v>
                </c:pt>
                <c:pt idx="27">
                  <c:v>6256.08</c:v>
                </c:pt>
                <c:pt idx="28">
                  <c:v>2691.3</c:v>
                </c:pt>
                <c:pt idx="29">
                  <c:v>4492.6000000000004</c:v>
                </c:pt>
                <c:pt idx="30">
                  <c:v>3770.19</c:v>
                </c:pt>
                <c:pt idx="31">
                  <c:v>4686.72</c:v>
                </c:pt>
                <c:pt idx="32">
                  <c:v>15164.94</c:v>
                </c:pt>
                <c:pt idx="33">
                  <c:v>4332.47</c:v>
                </c:pt>
                <c:pt idx="34">
                  <c:v>4104.29</c:v>
                </c:pt>
                <c:pt idx="35">
                  <c:v>4659.12</c:v>
                </c:pt>
                <c:pt idx="36">
                  <c:v>3182.76</c:v>
                </c:pt>
                <c:pt idx="37">
                  <c:v>5485.77</c:v>
                </c:pt>
                <c:pt idx="38">
                  <c:v>6270.6</c:v>
                </c:pt>
                <c:pt idx="39">
                  <c:v>6103.32</c:v>
                </c:pt>
                <c:pt idx="40">
                  <c:v>5235.66</c:v>
                </c:pt>
                <c:pt idx="41">
                  <c:v>3190.06</c:v>
                </c:pt>
                <c:pt idx="42">
                  <c:v>3108.67</c:v>
                </c:pt>
                <c:pt idx="43">
                  <c:v>3792.07</c:v>
                </c:pt>
                <c:pt idx="44">
                  <c:v>5760.58</c:v>
                </c:pt>
                <c:pt idx="45">
                  <c:v>3552.58</c:v>
                </c:pt>
                <c:pt idx="46">
                  <c:v>3713.17</c:v>
                </c:pt>
                <c:pt idx="47">
                  <c:v>2645.1</c:v>
                </c:pt>
                <c:pt idx="48">
                  <c:v>6033.16</c:v>
                </c:pt>
                <c:pt idx="49">
                  <c:v>2127.5500000000002</c:v>
                </c:pt>
                <c:pt idx="50">
                  <c:v>3615.92</c:v>
                </c:pt>
                <c:pt idx="51">
                  <c:v>3772.49</c:v>
                </c:pt>
                <c:pt idx="52">
                  <c:v>2471.4899999999998</c:v>
                </c:pt>
                <c:pt idx="53">
                  <c:v>766.16</c:v>
                </c:pt>
                <c:pt idx="54">
                  <c:v>3197.81</c:v>
                </c:pt>
                <c:pt idx="55">
                  <c:v>2961.64</c:v>
                </c:pt>
                <c:pt idx="56">
                  <c:v>2624.61</c:v>
                </c:pt>
                <c:pt idx="57">
                  <c:v>3571.4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05-4271-9D2F-A69C2B6FA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120007"/>
        <c:axId val="1065236999"/>
      </c:scatterChart>
      <c:valAx>
        <c:axId val="949120007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SVI Overall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236999"/>
        <c:crosses val="autoZero"/>
        <c:crossBetween val="midCat"/>
      </c:valAx>
      <c:valAx>
        <c:axId val="1065236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Cases per 100K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120007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[ca_covid_2020_final.xlsx]Chart Data!PivotTable3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Recorded COVID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Data'!$A$4:$A$13</c:f>
              <c:strCache>
                <c:ptCount val="10"/>
                <c:pt idx="0">
                  <c:v>Alameda County</c:v>
                </c:pt>
                <c:pt idx="1">
                  <c:v>Fresno County</c:v>
                </c:pt>
                <c:pt idx="2">
                  <c:v>Sacramento County</c:v>
                </c:pt>
                <c:pt idx="3">
                  <c:v>Kern County</c:v>
                </c:pt>
                <c:pt idx="4">
                  <c:v>Santa Clara County</c:v>
                </c:pt>
                <c:pt idx="5">
                  <c:v>San Diego County</c:v>
                </c:pt>
                <c:pt idx="6">
                  <c:v>Orange County</c:v>
                </c:pt>
                <c:pt idx="7">
                  <c:v>Riverside County</c:v>
                </c:pt>
                <c:pt idx="8">
                  <c:v>San Bernardino County</c:v>
                </c:pt>
                <c:pt idx="9">
                  <c:v>Los Angeles County</c:v>
                </c:pt>
              </c:strCache>
            </c:strRef>
          </c:cat>
          <c:val>
            <c:numRef>
              <c:f>'Chart Data'!$B$4:$B$13</c:f>
              <c:numCache>
                <c:formatCode>General</c:formatCode>
                <c:ptCount val="10"/>
                <c:pt idx="0">
                  <c:v>51610</c:v>
                </c:pt>
                <c:pt idx="1">
                  <c:v>65399</c:v>
                </c:pt>
                <c:pt idx="2">
                  <c:v>65539</c:v>
                </c:pt>
                <c:pt idx="3">
                  <c:v>68968</c:v>
                </c:pt>
                <c:pt idx="4">
                  <c:v>69878</c:v>
                </c:pt>
                <c:pt idx="5">
                  <c:v>155657</c:v>
                </c:pt>
                <c:pt idx="6">
                  <c:v>166195</c:v>
                </c:pt>
                <c:pt idx="7">
                  <c:v>180552</c:v>
                </c:pt>
                <c:pt idx="8">
                  <c:v>194376</c:v>
                </c:pt>
                <c:pt idx="9">
                  <c:v>770914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33-43DC-AC6B-F343916EE0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02668040"/>
        <c:axId val="2002699784"/>
      </c:barChart>
      <c:catAx>
        <c:axId val="2002668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99784"/>
        <c:crosses val="autoZero"/>
        <c:auto val="1"/>
        <c:lblAlgn val="ctr"/>
        <c:lblOffset val="100"/>
        <c:noMultiLvlLbl val="0"/>
      </c:catAx>
      <c:valAx>
        <c:axId val="20026997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02668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'Risk Score' and 'Deaths per 100K' appear to form a cluster with </a:t>
            </a:r>
            <a:r>
              <a:rPr lang="en-US">
                <a:solidFill>
                  <a:srgbClr val="DD5A13"/>
                </a:solidFill>
              </a:rPr>
              <a:t>1</a:t>
            </a:r>
            <a:r>
              <a:rPr lang="en-US"/>
              <a:t> outlier.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Data'!B20</c:f>
              <c:strCache>
                <c:ptCount val="1"/>
                <c:pt idx="0">
                  <c:v>Deaths per 100K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37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D22-46DE-893E-CCF0D49771B3}"/>
              </c:ext>
            </c:extLst>
          </c:dPt>
          <c:xVal>
            <c:numRef>
              <c:f>'Chart Data'!$A$21:$A$75</c:f>
              <c:numCache>
                <c:formatCode>General</c:formatCode>
                <c:ptCount val="55"/>
                <c:pt idx="0">
                  <c:v>11.79</c:v>
                </c:pt>
                <c:pt idx="1">
                  <c:v>12.7</c:v>
                </c:pt>
                <c:pt idx="2">
                  <c:v>12.83</c:v>
                </c:pt>
                <c:pt idx="3">
                  <c:v>12.86</c:v>
                </c:pt>
                <c:pt idx="4">
                  <c:v>13.29</c:v>
                </c:pt>
                <c:pt idx="5">
                  <c:v>13.91</c:v>
                </c:pt>
                <c:pt idx="6">
                  <c:v>14</c:v>
                </c:pt>
                <c:pt idx="7">
                  <c:v>14.07</c:v>
                </c:pt>
                <c:pt idx="8">
                  <c:v>14.11</c:v>
                </c:pt>
                <c:pt idx="9">
                  <c:v>14.46</c:v>
                </c:pt>
                <c:pt idx="10">
                  <c:v>14.6</c:v>
                </c:pt>
                <c:pt idx="11">
                  <c:v>14.62</c:v>
                </c:pt>
                <c:pt idx="12">
                  <c:v>14.7</c:v>
                </c:pt>
                <c:pt idx="13">
                  <c:v>14.77</c:v>
                </c:pt>
                <c:pt idx="14">
                  <c:v>14.8</c:v>
                </c:pt>
                <c:pt idx="15">
                  <c:v>14.86</c:v>
                </c:pt>
                <c:pt idx="16">
                  <c:v>14.92</c:v>
                </c:pt>
                <c:pt idx="17">
                  <c:v>15</c:v>
                </c:pt>
                <c:pt idx="18">
                  <c:v>15.07</c:v>
                </c:pt>
                <c:pt idx="19">
                  <c:v>15.11</c:v>
                </c:pt>
                <c:pt idx="20">
                  <c:v>15.17</c:v>
                </c:pt>
                <c:pt idx="21">
                  <c:v>15.23</c:v>
                </c:pt>
                <c:pt idx="22">
                  <c:v>15.3</c:v>
                </c:pt>
                <c:pt idx="23">
                  <c:v>15.51</c:v>
                </c:pt>
                <c:pt idx="24">
                  <c:v>15.55</c:v>
                </c:pt>
                <c:pt idx="25">
                  <c:v>15.7</c:v>
                </c:pt>
                <c:pt idx="26">
                  <c:v>15.72</c:v>
                </c:pt>
                <c:pt idx="27">
                  <c:v>15.73</c:v>
                </c:pt>
                <c:pt idx="28">
                  <c:v>15.89</c:v>
                </c:pt>
                <c:pt idx="29">
                  <c:v>16.03</c:v>
                </c:pt>
                <c:pt idx="30">
                  <c:v>16.05</c:v>
                </c:pt>
                <c:pt idx="31">
                  <c:v>16.100000000000001</c:v>
                </c:pt>
                <c:pt idx="32">
                  <c:v>16.190000000000001</c:v>
                </c:pt>
                <c:pt idx="33">
                  <c:v>16.5</c:v>
                </c:pt>
                <c:pt idx="34">
                  <c:v>16.55</c:v>
                </c:pt>
                <c:pt idx="35">
                  <c:v>16.66</c:v>
                </c:pt>
                <c:pt idx="36">
                  <c:v>16.75</c:v>
                </c:pt>
                <c:pt idx="37">
                  <c:v>16.89</c:v>
                </c:pt>
                <c:pt idx="38">
                  <c:v>17.25</c:v>
                </c:pt>
                <c:pt idx="39">
                  <c:v>17.260000000000002</c:v>
                </c:pt>
                <c:pt idx="40">
                  <c:v>17.8</c:v>
                </c:pt>
                <c:pt idx="41">
                  <c:v>18.100000000000001</c:v>
                </c:pt>
                <c:pt idx="42">
                  <c:v>18.52</c:v>
                </c:pt>
                <c:pt idx="43">
                  <c:v>18.63</c:v>
                </c:pt>
                <c:pt idx="44">
                  <c:v>18.71</c:v>
                </c:pt>
                <c:pt idx="45">
                  <c:v>18.84</c:v>
                </c:pt>
                <c:pt idx="46">
                  <c:v>19.100000000000001</c:v>
                </c:pt>
                <c:pt idx="47">
                  <c:v>19.43</c:v>
                </c:pt>
                <c:pt idx="48">
                  <c:v>19.649999999999999</c:v>
                </c:pt>
                <c:pt idx="49">
                  <c:v>19.72</c:v>
                </c:pt>
                <c:pt idx="50">
                  <c:v>19.89</c:v>
                </c:pt>
                <c:pt idx="51">
                  <c:v>20.309999999999999</c:v>
                </c:pt>
                <c:pt idx="52">
                  <c:v>20.79</c:v>
                </c:pt>
                <c:pt idx="53">
                  <c:v>20.91</c:v>
                </c:pt>
                <c:pt idx="54">
                  <c:v>21.2</c:v>
                </c:pt>
              </c:numCache>
            </c:numRef>
          </c:xVal>
          <c:yVal>
            <c:numRef>
              <c:f>'Chart Data'!$B$21:$B$75</c:f>
              <c:numCache>
                <c:formatCode>General</c:formatCode>
                <c:ptCount val="55"/>
                <c:pt idx="0">
                  <c:v>36.74</c:v>
                </c:pt>
                <c:pt idx="1">
                  <c:v>29.52</c:v>
                </c:pt>
                <c:pt idx="2">
                  <c:v>39.57</c:v>
                </c:pt>
                <c:pt idx="3">
                  <c:v>21.18</c:v>
                </c:pt>
                <c:pt idx="4">
                  <c:v>59.07</c:v>
                </c:pt>
                <c:pt idx="5">
                  <c:v>46.19</c:v>
                </c:pt>
                <c:pt idx="6">
                  <c:v>29.24</c:v>
                </c:pt>
                <c:pt idx="7">
                  <c:v>48.2</c:v>
                </c:pt>
                <c:pt idx="8">
                  <c:v>50.81</c:v>
                </c:pt>
                <c:pt idx="9">
                  <c:v>87.58</c:v>
                </c:pt>
                <c:pt idx="10">
                  <c:v>56.11</c:v>
                </c:pt>
                <c:pt idx="11">
                  <c:v>30.98</c:v>
                </c:pt>
                <c:pt idx="12">
                  <c:v>130.26</c:v>
                </c:pt>
                <c:pt idx="13">
                  <c:v>30.2</c:v>
                </c:pt>
                <c:pt idx="14">
                  <c:v>73.5</c:v>
                </c:pt>
                <c:pt idx="15">
                  <c:v>22.1</c:v>
                </c:pt>
                <c:pt idx="16">
                  <c:v>113.09</c:v>
                </c:pt>
                <c:pt idx="17">
                  <c:v>32.46</c:v>
                </c:pt>
                <c:pt idx="18">
                  <c:v>29.11</c:v>
                </c:pt>
                <c:pt idx="19">
                  <c:v>24.81</c:v>
                </c:pt>
                <c:pt idx="20">
                  <c:v>38.21</c:v>
                </c:pt>
                <c:pt idx="21">
                  <c:v>53.51</c:v>
                </c:pt>
                <c:pt idx="22">
                  <c:v>134.39999999999998</c:v>
                </c:pt>
                <c:pt idx="23">
                  <c:v>20.02</c:v>
                </c:pt>
                <c:pt idx="24">
                  <c:v>57.7</c:v>
                </c:pt>
                <c:pt idx="25">
                  <c:v>82.2</c:v>
                </c:pt>
                <c:pt idx="26">
                  <c:v>65.569999999999993</c:v>
                </c:pt>
                <c:pt idx="27">
                  <c:v>67.180000000000007</c:v>
                </c:pt>
                <c:pt idx="28">
                  <c:v>87.82</c:v>
                </c:pt>
                <c:pt idx="29">
                  <c:v>11.66</c:v>
                </c:pt>
                <c:pt idx="30">
                  <c:v>29.03</c:v>
                </c:pt>
                <c:pt idx="31">
                  <c:v>95.91</c:v>
                </c:pt>
                <c:pt idx="32">
                  <c:v>37.07</c:v>
                </c:pt>
                <c:pt idx="33">
                  <c:v>75.28</c:v>
                </c:pt>
                <c:pt idx="34">
                  <c:v>16.12</c:v>
                </c:pt>
                <c:pt idx="35">
                  <c:v>41.98</c:v>
                </c:pt>
                <c:pt idx="36">
                  <c:v>50.13</c:v>
                </c:pt>
                <c:pt idx="37">
                  <c:v>230.66</c:v>
                </c:pt>
                <c:pt idx="38">
                  <c:v>43.48</c:v>
                </c:pt>
                <c:pt idx="39">
                  <c:v>7.31</c:v>
                </c:pt>
                <c:pt idx="40">
                  <c:v>56.38</c:v>
                </c:pt>
                <c:pt idx="41">
                  <c:v>111.93</c:v>
                </c:pt>
                <c:pt idx="42">
                  <c:v>29.69</c:v>
                </c:pt>
                <c:pt idx="43">
                  <c:v>50.32</c:v>
                </c:pt>
                <c:pt idx="44">
                  <c:v>38.909999999999997</c:v>
                </c:pt>
                <c:pt idx="45">
                  <c:v>35.880000000000003</c:v>
                </c:pt>
                <c:pt idx="46">
                  <c:v>62.29</c:v>
                </c:pt>
                <c:pt idx="47">
                  <c:v>25.22</c:v>
                </c:pt>
                <c:pt idx="48">
                  <c:v>5.36</c:v>
                </c:pt>
                <c:pt idx="49">
                  <c:v>48.16</c:v>
                </c:pt>
                <c:pt idx="50">
                  <c:v>0</c:v>
                </c:pt>
                <c:pt idx="51">
                  <c:v>22.97</c:v>
                </c:pt>
                <c:pt idx="52">
                  <c:v>0</c:v>
                </c:pt>
                <c:pt idx="53">
                  <c:v>11.27</c:v>
                </c:pt>
                <c:pt idx="54">
                  <c:v>31.43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13EC2BD8-390D-4E22-BD6A-2AC7D69ED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560904"/>
        <c:axId val="2002742280"/>
      </c:scatterChart>
      <c:valAx>
        <c:axId val="1884560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742280"/>
        <c:crosses val="autoZero"/>
        <c:crossBetween val="midCat"/>
      </c:valAx>
      <c:valAx>
        <c:axId val="200274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Deaths per 100K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60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 Mortality vs. County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Data'!R20</c:f>
              <c:strCache>
                <c:ptCount val="1"/>
                <c:pt idx="0">
                  <c:v>Deaths per 100K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44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C4A-4007-B127-2371E4CFA127}"/>
              </c:ext>
            </c:extLst>
          </c:dPt>
          <c:dPt>
            <c:idx val="45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C4A-4007-B127-2371E4CFA127}"/>
              </c:ext>
            </c:extLst>
          </c:dPt>
          <c:dLbls>
            <c:delete val="1"/>
          </c:dLbls>
          <c:xVal>
            <c:numRef>
              <c:f>'Chart Data'!$Q$21:$Q$78</c:f>
              <c:numCache>
                <c:formatCode>General</c:formatCode>
                <c:ptCount val="58"/>
                <c:pt idx="2">
                  <c:v>14.62</c:v>
                </c:pt>
                <c:pt idx="3">
                  <c:v>18.71</c:v>
                </c:pt>
                <c:pt idx="4">
                  <c:v>15.89</c:v>
                </c:pt>
                <c:pt idx="5">
                  <c:v>21.2</c:v>
                </c:pt>
                <c:pt idx="6">
                  <c:v>17.8</c:v>
                </c:pt>
                <c:pt idx="7">
                  <c:v>15.3</c:v>
                </c:pt>
                <c:pt idx="8">
                  <c:v>14.92</c:v>
                </c:pt>
                <c:pt idx="9">
                  <c:v>15.17</c:v>
                </c:pt>
                <c:pt idx="10">
                  <c:v>14.86</c:v>
                </c:pt>
                <c:pt idx="11">
                  <c:v>19.43</c:v>
                </c:pt>
                <c:pt idx="12">
                  <c:v>19.89</c:v>
                </c:pt>
                <c:pt idx="13">
                  <c:v>17.25</c:v>
                </c:pt>
                <c:pt idx="14">
                  <c:v>14.77</c:v>
                </c:pt>
                <c:pt idx="15">
                  <c:v>11.79</c:v>
                </c:pt>
                <c:pt idx="16">
                  <c:v>15.3</c:v>
                </c:pt>
                <c:pt idx="17">
                  <c:v>12.7</c:v>
                </c:pt>
                <c:pt idx="18">
                  <c:v>16.05</c:v>
                </c:pt>
                <c:pt idx="19">
                  <c:v>14.46</c:v>
                </c:pt>
                <c:pt idx="20">
                  <c:v>12.86</c:v>
                </c:pt>
                <c:pt idx="21">
                  <c:v>13.91</c:v>
                </c:pt>
                <c:pt idx="22">
                  <c:v>15.73</c:v>
                </c:pt>
                <c:pt idx="23">
                  <c:v>14.07</c:v>
                </c:pt>
                <c:pt idx="24">
                  <c:v>14.6</c:v>
                </c:pt>
                <c:pt idx="25">
                  <c:v>15.7</c:v>
                </c:pt>
                <c:pt idx="26">
                  <c:v>19.649999999999999</c:v>
                </c:pt>
                <c:pt idx="27">
                  <c:v>15</c:v>
                </c:pt>
                <c:pt idx="28">
                  <c:v>13.29</c:v>
                </c:pt>
                <c:pt idx="29">
                  <c:v>18.63</c:v>
                </c:pt>
                <c:pt idx="30">
                  <c:v>15.51</c:v>
                </c:pt>
                <c:pt idx="31">
                  <c:v>15.3</c:v>
                </c:pt>
                <c:pt idx="32">
                  <c:v>14.7</c:v>
                </c:pt>
                <c:pt idx="33">
                  <c:v>20.91</c:v>
                </c:pt>
                <c:pt idx="34">
                  <c:v>16.100000000000001</c:v>
                </c:pt>
                <c:pt idx="35">
                  <c:v>18.52</c:v>
                </c:pt>
                <c:pt idx="36">
                  <c:v>20.309999999999999</c:v>
                </c:pt>
                <c:pt idx="37">
                  <c:v>15.23</c:v>
                </c:pt>
                <c:pt idx="38">
                  <c:v>16.5</c:v>
                </c:pt>
                <c:pt idx="39">
                  <c:v>14.7</c:v>
                </c:pt>
                <c:pt idx="40">
                  <c:v>15.07</c:v>
                </c:pt>
                <c:pt idx="41">
                  <c:v>18.84</c:v>
                </c:pt>
                <c:pt idx="42">
                  <c:v>14.8</c:v>
                </c:pt>
                <c:pt idx="43">
                  <c:v>15.55</c:v>
                </c:pt>
                <c:pt idx="44">
                  <c:v>18.100000000000001</c:v>
                </c:pt>
                <c:pt idx="45">
                  <c:v>16.89</c:v>
                </c:pt>
                <c:pt idx="46">
                  <c:v>16.55</c:v>
                </c:pt>
                <c:pt idx="47">
                  <c:v>16.75</c:v>
                </c:pt>
                <c:pt idx="48">
                  <c:v>15.72</c:v>
                </c:pt>
                <c:pt idx="49">
                  <c:v>16.03</c:v>
                </c:pt>
                <c:pt idx="50">
                  <c:v>17.260000000000002</c:v>
                </c:pt>
                <c:pt idx="51">
                  <c:v>14</c:v>
                </c:pt>
                <c:pt idx="52">
                  <c:v>16.190000000000001</c:v>
                </c:pt>
                <c:pt idx="53">
                  <c:v>19.72</c:v>
                </c:pt>
                <c:pt idx="54">
                  <c:v>16.66</c:v>
                </c:pt>
                <c:pt idx="55">
                  <c:v>19.100000000000001</c:v>
                </c:pt>
                <c:pt idx="56">
                  <c:v>20.79</c:v>
                </c:pt>
                <c:pt idx="57">
                  <c:v>12.83</c:v>
                </c:pt>
              </c:numCache>
            </c:numRef>
          </c:xVal>
          <c:yVal>
            <c:numRef>
              <c:f>'Chart Data'!$R$21:$R$78</c:f>
              <c:numCache>
                <c:formatCode>General</c:formatCode>
                <c:ptCount val="58"/>
                <c:pt idx="0">
                  <c:v>24.81</c:v>
                </c:pt>
                <c:pt idx="1">
                  <c:v>50.81</c:v>
                </c:pt>
                <c:pt idx="2">
                  <c:v>30.98</c:v>
                </c:pt>
                <c:pt idx="3">
                  <c:v>38.909999999999997</c:v>
                </c:pt>
                <c:pt idx="4">
                  <c:v>87.82</c:v>
                </c:pt>
                <c:pt idx="5">
                  <c:v>31.43</c:v>
                </c:pt>
                <c:pt idx="6">
                  <c:v>56.38</c:v>
                </c:pt>
                <c:pt idx="7">
                  <c:v>54.05</c:v>
                </c:pt>
                <c:pt idx="8">
                  <c:v>113.09</c:v>
                </c:pt>
                <c:pt idx="9">
                  <c:v>38.21</c:v>
                </c:pt>
                <c:pt idx="10">
                  <c:v>22.1</c:v>
                </c:pt>
                <c:pt idx="11">
                  <c:v>25.22</c:v>
                </c:pt>
                <c:pt idx="12">
                  <c:v>0</c:v>
                </c:pt>
                <c:pt idx="13">
                  <c:v>43.48</c:v>
                </c:pt>
                <c:pt idx="14">
                  <c:v>30.2</c:v>
                </c:pt>
                <c:pt idx="15">
                  <c:v>36.74</c:v>
                </c:pt>
                <c:pt idx="16">
                  <c:v>35.93</c:v>
                </c:pt>
                <c:pt idx="17">
                  <c:v>29.52</c:v>
                </c:pt>
                <c:pt idx="18">
                  <c:v>29.03</c:v>
                </c:pt>
                <c:pt idx="19">
                  <c:v>87.58</c:v>
                </c:pt>
                <c:pt idx="20">
                  <c:v>21.18</c:v>
                </c:pt>
                <c:pt idx="21">
                  <c:v>46.19</c:v>
                </c:pt>
                <c:pt idx="22">
                  <c:v>67.180000000000007</c:v>
                </c:pt>
                <c:pt idx="23">
                  <c:v>48.2</c:v>
                </c:pt>
                <c:pt idx="24">
                  <c:v>56.11</c:v>
                </c:pt>
                <c:pt idx="25">
                  <c:v>82.2</c:v>
                </c:pt>
                <c:pt idx="26">
                  <c:v>5.36</c:v>
                </c:pt>
                <c:pt idx="27">
                  <c:v>32.46</c:v>
                </c:pt>
                <c:pt idx="28">
                  <c:v>59.07</c:v>
                </c:pt>
                <c:pt idx="29">
                  <c:v>50.32</c:v>
                </c:pt>
                <c:pt idx="30">
                  <c:v>20.02</c:v>
                </c:pt>
                <c:pt idx="31">
                  <c:v>44.42</c:v>
                </c:pt>
                <c:pt idx="32">
                  <c:v>27.87</c:v>
                </c:pt>
                <c:pt idx="33">
                  <c:v>11.27</c:v>
                </c:pt>
                <c:pt idx="34">
                  <c:v>95.91</c:v>
                </c:pt>
                <c:pt idx="35">
                  <c:v>29.69</c:v>
                </c:pt>
                <c:pt idx="36">
                  <c:v>22.97</c:v>
                </c:pt>
                <c:pt idx="37">
                  <c:v>53.51</c:v>
                </c:pt>
                <c:pt idx="38">
                  <c:v>75.28</c:v>
                </c:pt>
                <c:pt idx="39">
                  <c:v>102.39</c:v>
                </c:pt>
                <c:pt idx="40">
                  <c:v>29.11</c:v>
                </c:pt>
                <c:pt idx="41">
                  <c:v>35.880000000000003</c:v>
                </c:pt>
                <c:pt idx="42">
                  <c:v>73.5</c:v>
                </c:pt>
                <c:pt idx="43">
                  <c:v>57.7</c:v>
                </c:pt>
                <c:pt idx="44">
                  <c:v>111.93</c:v>
                </c:pt>
                <c:pt idx="45">
                  <c:v>230.66</c:v>
                </c:pt>
                <c:pt idx="46">
                  <c:v>16.12</c:v>
                </c:pt>
                <c:pt idx="47">
                  <c:v>50.13</c:v>
                </c:pt>
                <c:pt idx="48">
                  <c:v>65.569999999999993</c:v>
                </c:pt>
                <c:pt idx="49">
                  <c:v>11.66</c:v>
                </c:pt>
                <c:pt idx="50">
                  <c:v>7.31</c:v>
                </c:pt>
                <c:pt idx="51">
                  <c:v>29.24</c:v>
                </c:pt>
                <c:pt idx="52">
                  <c:v>37.07</c:v>
                </c:pt>
                <c:pt idx="53">
                  <c:v>48.16</c:v>
                </c:pt>
                <c:pt idx="54">
                  <c:v>41.98</c:v>
                </c:pt>
                <c:pt idx="55">
                  <c:v>62.29</c:v>
                </c:pt>
                <c:pt idx="56">
                  <c:v>0</c:v>
                </c:pt>
                <c:pt idx="57">
                  <c:v>39.57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D861773A-F0F5-4AA1-A389-4059F75D73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1036878343"/>
        <c:axId val="182604296"/>
      </c:scatterChart>
      <c:valAx>
        <c:axId val="1036878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04296"/>
        <c:crosses val="autoZero"/>
        <c:crossBetween val="midCat"/>
      </c:valAx>
      <c:valAx>
        <c:axId val="18260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Deaths per 100K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8592957130358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878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[ca_covid_2020_final.xlsx]Chart Data!PivotTable10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 Mortality and Physician Accessibility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Data'!$B$82</c:f>
              <c:strCache>
                <c:ptCount val="1"/>
                <c:pt idx="0">
                  <c:v>Sum of Deaths per 100K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'Chart Data'!$A$83:$A$92</c:f>
              <c:strCache>
                <c:ptCount val="10"/>
                <c:pt idx="0">
                  <c:v>Sonoma County</c:v>
                </c:pt>
                <c:pt idx="1">
                  <c:v>Contra Costa County</c:v>
                </c:pt>
                <c:pt idx="2">
                  <c:v>Santa Cruz County</c:v>
                </c:pt>
                <c:pt idx="3">
                  <c:v>San Mateo County</c:v>
                </c:pt>
                <c:pt idx="4">
                  <c:v>Santa Clara County</c:v>
                </c:pt>
                <c:pt idx="5">
                  <c:v>Alameda County</c:v>
                </c:pt>
                <c:pt idx="6">
                  <c:v>Yolo County</c:v>
                </c:pt>
                <c:pt idx="7">
                  <c:v>Placer County</c:v>
                </c:pt>
                <c:pt idx="8">
                  <c:v>Marin County</c:v>
                </c:pt>
                <c:pt idx="9">
                  <c:v>San Francisco County</c:v>
                </c:pt>
              </c:strCache>
            </c:strRef>
          </c:cat>
          <c:val>
            <c:numRef>
              <c:f>'Chart Data'!$B$83:$B$92</c:f>
              <c:numCache>
                <c:formatCode>General</c:formatCode>
                <c:ptCount val="10"/>
                <c:pt idx="0">
                  <c:v>38.21</c:v>
                </c:pt>
                <c:pt idx="1">
                  <c:v>29.24</c:v>
                </c:pt>
                <c:pt idx="2">
                  <c:v>30.2</c:v>
                </c:pt>
                <c:pt idx="3">
                  <c:v>29.52</c:v>
                </c:pt>
                <c:pt idx="4">
                  <c:v>36.74</c:v>
                </c:pt>
                <c:pt idx="5">
                  <c:v>39.57</c:v>
                </c:pt>
                <c:pt idx="6">
                  <c:v>50.81</c:v>
                </c:pt>
                <c:pt idx="7">
                  <c:v>32.46</c:v>
                </c:pt>
                <c:pt idx="8">
                  <c:v>53.51</c:v>
                </c:pt>
                <c:pt idx="9">
                  <c:v>21.18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E6-451A-A29C-D144A7251395}"/>
            </c:ext>
          </c:extLst>
        </c:ser>
        <c:ser>
          <c:idx val="1"/>
          <c:order val="1"/>
          <c:tx>
            <c:strRef>
              <c:f>'Chart Data'!$C$82</c:f>
              <c:strCache>
                <c:ptCount val="1"/>
                <c:pt idx="0">
                  <c:v>Primary Care Physicians per 100K 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'Chart Data'!$A$83:$A$92</c:f>
              <c:strCache>
                <c:ptCount val="10"/>
                <c:pt idx="0">
                  <c:v>Sonoma County</c:v>
                </c:pt>
                <c:pt idx="1">
                  <c:v>Contra Costa County</c:v>
                </c:pt>
                <c:pt idx="2">
                  <c:v>Santa Cruz County</c:v>
                </c:pt>
                <c:pt idx="3">
                  <c:v>San Mateo County</c:v>
                </c:pt>
                <c:pt idx="4">
                  <c:v>Santa Clara County</c:v>
                </c:pt>
                <c:pt idx="5">
                  <c:v>Alameda County</c:v>
                </c:pt>
                <c:pt idx="6">
                  <c:v>Yolo County</c:v>
                </c:pt>
                <c:pt idx="7">
                  <c:v>Placer County</c:v>
                </c:pt>
                <c:pt idx="8">
                  <c:v>Marin County</c:v>
                </c:pt>
                <c:pt idx="9">
                  <c:v>San Francisco County</c:v>
                </c:pt>
              </c:strCache>
            </c:strRef>
          </c:cat>
          <c:val>
            <c:numRef>
              <c:f>'Chart Data'!$C$83:$C$92</c:f>
              <c:numCache>
                <c:formatCode>General</c:formatCode>
                <c:ptCount val="10"/>
                <c:pt idx="0">
                  <c:v>101</c:v>
                </c:pt>
                <c:pt idx="1">
                  <c:v>103</c:v>
                </c:pt>
                <c:pt idx="2">
                  <c:v>104</c:v>
                </c:pt>
                <c:pt idx="3">
                  <c:v>107</c:v>
                </c:pt>
                <c:pt idx="4">
                  <c:v>107</c:v>
                </c:pt>
                <c:pt idx="5">
                  <c:v>113</c:v>
                </c:pt>
                <c:pt idx="6">
                  <c:v>122</c:v>
                </c:pt>
                <c:pt idx="7">
                  <c:v>124</c:v>
                </c:pt>
                <c:pt idx="8">
                  <c:v>147</c:v>
                </c:pt>
                <c:pt idx="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E6-451A-A29C-D144A725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036858887"/>
        <c:axId val="1036877319"/>
      </c:barChart>
      <c:catAx>
        <c:axId val="1036858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877319"/>
        <c:crosses val="autoZero"/>
        <c:auto val="1"/>
        <c:lblAlgn val="ctr"/>
        <c:lblOffset val="100"/>
        <c:noMultiLvlLbl val="0"/>
      </c:catAx>
      <c:valAx>
        <c:axId val="1036877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858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 Cases per 100K vs. SVI Overall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Data'!H98</c:f>
              <c:strCache>
                <c:ptCount val="1"/>
                <c:pt idx="0">
                  <c:v>Cases per 100K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BC3-4713-BFD4-E86BFD86DD9A}"/>
              </c:ext>
            </c:extLst>
          </c:dPt>
          <c:dPt>
            <c:idx val="32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BC3-4713-BFD4-E86BFD86DD9A}"/>
              </c:ext>
            </c:extLst>
          </c:dPt>
          <c:trendline>
            <c:spPr>
              <a:ln w="19050" cap="rnd">
                <a:solidFill>
                  <a:srgbClr val="80808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'Chart Data'!$G$99:$G$156</c:f>
              <c:numCache>
                <c:formatCode>General</c:formatCode>
                <c:ptCount val="58"/>
                <c:pt idx="0">
                  <c:v>0.99</c:v>
                </c:pt>
                <c:pt idx="1">
                  <c:v>0.97</c:v>
                </c:pt>
                <c:pt idx="2">
                  <c:v>0.97</c:v>
                </c:pt>
                <c:pt idx="3">
                  <c:v>0.96</c:v>
                </c:pt>
                <c:pt idx="4">
                  <c:v>0.96</c:v>
                </c:pt>
                <c:pt idx="5">
                  <c:v>0.95</c:v>
                </c:pt>
                <c:pt idx="6">
                  <c:v>0.95</c:v>
                </c:pt>
                <c:pt idx="7">
                  <c:v>0.93</c:v>
                </c:pt>
                <c:pt idx="8">
                  <c:v>0.93</c:v>
                </c:pt>
                <c:pt idx="9">
                  <c:v>0.93</c:v>
                </c:pt>
                <c:pt idx="10">
                  <c:v>0.91</c:v>
                </c:pt>
                <c:pt idx="11">
                  <c:v>0.91</c:v>
                </c:pt>
                <c:pt idx="12">
                  <c:v>0.9</c:v>
                </c:pt>
                <c:pt idx="13">
                  <c:v>0.89</c:v>
                </c:pt>
                <c:pt idx="14">
                  <c:v>0.89</c:v>
                </c:pt>
                <c:pt idx="15">
                  <c:v>0.86</c:v>
                </c:pt>
                <c:pt idx="16">
                  <c:v>0.86</c:v>
                </c:pt>
                <c:pt idx="17">
                  <c:v>0.86</c:v>
                </c:pt>
                <c:pt idx="18">
                  <c:v>0.85</c:v>
                </c:pt>
                <c:pt idx="19">
                  <c:v>0.85</c:v>
                </c:pt>
                <c:pt idx="20">
                  <c:v>0.84</c:v>
                </c:pt>
                <c:pt idx="21">
                  <c:v>0.83</c:v>
                </c:pt>
                <c:pt idx="22">
                  <c:v>0.83</c:v>
                </c:pt>
                <c:pt idx="23">
                  <c:v>0.83</c:v>
                </c:pt>
                <c:pt idx="24">
                  <c:v>0.83</c:v>
                </c:pt>
                <c:pt idx="25">
                  <c:v>0.77</c:v>
                </c:pt>
                <c:pt idx="26">
                  <c:v>0.77</c:v>
                </c:pt>
                <c:pt idx="27">
                  <c:v>0.76</c:v>
                </c:pt>
                <c:pt idx="28">
                  <c:v>0.75</c:v>
                </c:pt>
                <c:pt idx="29">
                  <c:v>0.75</c:v>
                </c:pt>
                <c:pt idx="30">
                  <c:v>0.73</c:v>
                </c:pt>
                <c:pt idx="31">
                  <c:v>0.7</c:v>
                </c:pt>
                <c:pt idx="32">
                  <c:v>0.64</c:v>
                </c:pt>
                <c:pt idx="33">
                  <c:v>0.63</c:v>
                </c:pt>
                <c:pt idx="34">
                  <c:v>0.62</c:v>
                </c:pt>
                <c:pt idx="35">
                  <c:v>0.61</c:v>
                </c:pt>
                <c:pt idx="36">
                  <c:v>0.61</c:v>
                </c:pt>
                <c:pt idx="37">
                  <c:v>0.6</c:v>
                </c:pt>
                <c:pt idx="38">
                  <c:v>0.59</c:v>
                </c:pt>
                <c:pt idx="39">
                  <c:v>0.56999999999999995</c:v>
                </c:pt>
                <c:pt idx="40">
                  <c:v>0.56000000000000005</c:v>
                </c:pt>
                <c:pt idx="41">
                  <c:v>0.53</c:v>
                </c:pt>
                <c:pt idx="42">
                  <c:v>0.52</c:v>
                </c:pt>
                <c:pt idx="43">
                  <c:v>0.51</c:v>
                </c:pt>
                <c:pt idx="44">
                  <c:v>0.5</c:v>
                </c:pt>
                <c:pt idx="45">
                  <c:v>0.47</c:v>
                </c:pt>
                <c:pt idx="46">
                  <c:v>0.45</c:v>
                </c:pt>
                <c:pt idx="47">
                  <c:v>0.43</c:v>
                </c:pt>
                <c:pt idx="48">
                  <c:v>0.42</c:v>
                </c:pt>
                <c:pt idx="49">
                  <c:v>0.4</c:v>
                </c:pt>
                <c:pt idx="50">
                  <c:v>0.37</c:v>
                </c:pt>
                <c:pt idx="51">
                  <c:v>0.33</c:v>
                </c:pt>
                <c:pt idx="52">
                  <c:v>0.32</c:v>
                </c:pt>
                <c:pt idx="53">
                  <c:v>0.28000000000000003</c:v>
                </c:pt>
                <c:pt idx="54">
                  <c:v>0.26</c:v>
                </c:pt>
                <c:pt idx="55">
                  <c:v>0.23</c:v>
                </c:pt>
                <c:pt idx="56">
                  <c:v>0.22</c:v>
                </c:pt>
                <c:pt idx="57">
                  <c:v>0.18</c:v>
                </c:pt>
              </c:numCache>
            </c:numRef>
          </c:xVal>
          <c:yVal>
            <c:numRef>
              <c:f>'Chart Data'!$H$99:$H$156</c:f>
              <c:numCache>
                <c:formatCode>General</c:formatCode>
                <c:ptCount val="58"/>
                <c:pt idx="0">
                  <c:v>12256.05</c:v>
                </c:pt>
                <c:pt idx="1">
                  <c:v>7772.3</c:v>
                </c:pt>
                <c:pt idx="2">
                  <c:v>7172</c:v>
                </c:pt>
                <c:pt idx="3">
                  <c:v>6637.89</c:v>
                </c:pt>
                <c:pt idx="4">
                  <c:v>2919.75</c:v>
                </c:pt>
                <c:pt idx="5">
                  <c:v>10766.04</c:v>
                </c:pt>
                <c:pt idx="6">
                  <c:v>2775.04</c:v>
                </c:pt>
                <c:pt idx="7">
                  <c:v>4645.4799999999996</c:v>
                </c:pt>
                <c:pt idx="8">
                  <c:v>7233.71</c:v>
                </c:pt>
                <c:pt idx="9">
                  <c:v>6749.32</c:v>
                </c:pt>
                <c:pt idx="10">
                  <c:v>9036.77</c:v>
                </c:pt>
                <c:pt idx="11">
                  <c:v>5087.62</c:v>
                </c:pt>
                <c:pt idx="12">
                  <c:v>2831.03</c:v>
                </c:pt>
                <c:pt idx="13">
                  <c:v>5217.3599999999997</c:v>
                </c:pt>
                <c:pt idx="14">
                  <c:v>6132.42</c:v>
                </c:pt>
                <c:pt idx="15">
                  <c:v>7630.01</c:v>
                </c:pt>
                <c:pt idx="16">
                  <c:v>1964.48</c:v>
                </c:pt>
                <c:pt idx="17">
                  <c:v>6759.59</c:v>
                </c:pt>
                <c:pt idx="18">
                  <c:v>6888.35</c:v>
                </c:pt>
                <c:pt idx="19">
                  <c:v>6410.78</c:v>
                </c:pt>
                <c:pt idx="20">
                  <c:v>3905.25</c:v>
                </c:pt>
                <c:pt idx="21">
                  <c:v>3230.93</c:v>
                </c:pt>
                <c:pt idx="22">
                  <c:v>7476.38</c:v>
                </c:pt>
                <c:pt idx="23">
                  <c:v>1291.51</c:v>
                </c:pt>
                <c:pt idx="24">
                  <c:v>1441.37</c:v>
                </c:pt>
                <c:pt idx="25">
                  <c:v>4291.16</c:v>
                </c:pt>
                <c:pt idx="26">
                  <c:v>3616.49</c:v>
                </c:pt>
                <c:pt idx="27">
                  <c:v>6256.08</c:v>
                </c:pt>
                <c:pt idx="28">
                  <c:v>2691.3</c:v>
                </c:pt>
                <c:pt idx="29">
                  <c:v>4492.6000000000004</c:v>
                </c:pt>
                <c:pt idx="30">
                  <c:v>3770.19</c:v>
                </c:pt>
                <c:pt idx="31">
                  <c:v>4686.72</c:v>
                </c:pt>
                <c:pt idx="32">
                  <c:v>15164.94</c:v>
                </c:pt>
                <c:pt idx="33">
                  <c:v>4332.47</c:v>
                </c:pt>
                <c:pt idx="34">
                  <c:v>4104.29</c:v>
                </c:pt>
                <c:pt idx="35">
                  <c:v>4659.12</c:v>
                </c:pt>
                <c:pt idx="36">
                  <c:v>3182.76</c:v>
                </c:pt>
                <c:pt idx="37">
                  <c:v>5485.77</c:v>
                </c:pt>
                <c:pt idx="38">
                  <c:v>6270.6</c:v>
                </c:pt>
                <c:pt idx="39">
                  <c:v>6103.32</c:v>
                </c:pt>
                <c:pt idx="40">
                  <c:v>5235.66</c:v>
                </c:pt>
                <c:pt idx="41">
                  <c:v>3190.06</c:v>
                </c:pt>
                <c:pt idx="42">
                  <c:v>3108.67</c:v>
                </c:pt>
                <c:pt idx="43">
                  <c:v>3792.07</c:v>
                </c:pt>
                <c:pt idx="44">
                  <c:v>5760.58</c:v>
                </c:pt>
                <c:pt idx="45">
                  <c:v>3552.58</c:v>
                </c:pt>
                <c:pt idx="46">
                  <c:v>3713.17</c:v>
                </c:pt>
                <c:pt idx="47">
                  <c:v>2645.1</c:v>
                </c:pt>
                <c:pt idx="48">
                  <c:v>6033.16</c:v>
                </c:pt>
                <c:pt idx="49">
                  <c:v>2127.5500000000002</c:v>
                </c:pt>
                <c:pt idx="50">
                  <c:v>3615.92</c:v>
                </c:pt>
                <c:pt idx="51">
                  <c:v>3772.49</c:v>
                </c:pt>
                <c:pt idx="52">
                  <c:v>2471.4899999999998</c:v>
                </c:pt>
                <c:pt idx="53">
                  <c:v>766.16</c:v>
                </c:pt>
                <c:pt idx="54">
                  <c:v>3197.81</c:v>
                </c:pt>
                <c:pt idx="55">
                  <c:v>2961.64</c:v>
                </c:pt>
                <c:pt idx="56">
                  <c:v>2624.61</c:v>
                </c:pt>
                <c:pt idx="57">
                  <c:v>3571.4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72C6E38D-2916-4C45-A305-EFB8D5644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120007"/>
        <c:axId val="1065236999"/>
      </c:scatterChart>
      <c:valAx>
        <c:axId val="94912000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SVI Overall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236999"/>
        <c:crosses val="autoZero"/>
        <c:crossBetween val="midCat"/>
      </c:valAx>
      <c:valAx>
        <c:axId val="1065236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Cases per 100K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120007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[ca_covid_2020_final.xlsx]Chart Data!PivotTable4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Recorded COVID Deaths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Data'!$M$5:$M$14</c:f>
              <c:strCache>
                <c:ptCount val="10"/>
                <c:pt idx="0">
                  <c:v>Fresno County</c:v>
                </c:pt>
                <c:pt idx="1">
                  <c:v>San Joaquin County</c:v>
                </c:pt>
                <c:pt idx="2">
                  <c:v>Alameda County</c:v>
                </c:pt>
                <c:pt idx="3">
                  <c:v>Santa Clara County</c:v>
                </c:pt>
                <c:pt idx="4">
                  <c:v>Sacramento County</c:v>
                </c:pt>
                <c:pt idx="5">
                  <c:v>San Bernardino County</c:v>
                </c:pt>
                <c:pt idx="6">
                  <c:v>San Diego County</c:v>
                </c:pt>
                <c:pt idx="7">
                  <c:v>Orange County</c:v>
                </c:pt>
                <c:pt idx="8">
                  <c:v>Riverside County</c:v>
                </c:pt>
                <c:pt idx="9">
                  <c:v>Los Angeles County</c:v>
                </c:pt>
              </c:strCache>
            </c:strRef>
          </c:cat>
          <c:val>
            <c:numRef>
              <c:f>'Chart Data'!$N$5:$N$14</c:f>
              <c:numCache>
                <c:formatCode>General</c:formatCode>
                <c:ptCount val="10"/>
                <c:pt idx="0">
                  <c:v>646</c:v>
                </c:pt>
                <c:pt idx="1">
                  <c:v>651</c:v>
                </c:pt>
                <c:pt idx="2">
                  <c:v>657</c:v>
                </c:pt>
                <c:pt idx="3">
                  <c:v>710</c:v>
                </c:pt>
                <c:pt idx="4">
                  <c:v>857</c:v>
                </c:pt>
                <c:pt idx="5">
                  <c:v>1445</c:v>
                </c:pt>
                <c:pt idx="6">
                  <c:v>1534</c:v>
                </c:pt>
                <c:pt idx="7">
                  <c:v>1875</c:v>
                </c:pt>
                <c:pt idx="8">
                  <c:v>1985</c:v>
                </c:pt>
                <c:pt idx="9">
                  <c:v>10345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F-4ED0-B1DC-9071A26AA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8776839"/>
        <c:axId val="1558782983"/>
      </c:barChart>
      <c:catAx>
        <c:axId val="1558776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82983"/>
        <c:crosses val="autoZero"/>
        <c:auto val="1"/>
        <c:lblAlgn val="ctr"/>
        <c:lblOffset val="100"/>
        <c:noMultiLvlLbl val="0"/>
      </c:catAx>
      <c:valAx>
        <c:axId val="15587829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8776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10</xdr:col>
      <xdr:colOff>1085850</xdr:colOff>
      <xdr:row>16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B048297-7445-4C4A-99DE-390803E9E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180975</xdr:rowOff>
    </xdr:from>
    <xdr:to>
      <xdr:col>10</xdr:col>
      <xdr:colOff>1076325</xdr:colOff>
      <xdr:row>33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02AEA-5F08-43F8-8F3D-C79D2626324E}"/>
            </a:ext>
            <a:ext uri="{147F2762-F138-4A5C-976F-8EAC2B608ADB}">
              <a16:predDERef xmlns:a16="http://schemas.microsoft.com/office/drawing/2014/main" pred="{7B048297-7445-4C4A-99DE-390803E9E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2</xdr:row>
      <xdr:rowOff>0</xdr:rowOff>
    </xdr:from>
    <xdr:to>
      <xdr:col>13</xdr:col>
      <xdr:colOff>161925</xdr:colOff>
      <xdr:row>16</xdr:row>
      <xdr:rowOff>76200</xdr:rowOff>
    </xdr:to>
    <xdr:graphicFrame macro="">
      <xdr:nvGraphicFramePr>
        <xdr:cNvPr id="2" name="Chart 1" descr="Chart type: Stacked Bar. 'Deaths per 100K' and 'Primary Care Physicians per 100K' by 'County'&#10;&#10;Description automatically generated">
          <a:extLst>
            <a:ext uri="{FF2B5EF4-FFF2-40B4-BE49-F238E27FC236}">
              <a16:creationId xmlns:a16="http://schemas.microsoft.com/office/drawing/2014/main" id="{63F894DC-D283-4570-9821-865AD8C3B644}"/>
            </a:ext>
            <a:ext uri="{147F2762-F138-4A5C-976F-8EAC2B608ADB}">
              <a16:predDERef xmlns:a16="http://schemas.microsoft.com/office/drawing/2014/main" pred="{9772B00C-5E8F-AFD1-64FC-3A302816F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762000</xdr:colOff>
      <xdr:row>2</xdr:row>
      <xdr:rowOff>0</xdr:rowOff>
    </xdr:from>
    <xdr:to>
      <xdr:col>11</xdr:col>
      <xdr:colOff>590550</xdr:colOff>
      <xdr:row>13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D31139-8121-79E0-187C-895ACEFF3C07}"/>
            </a:ext>
          </a:extLst>
        </xdr:cNvPr>
        <xdr:cNvSpPr txBox="1"/>
      </xdr:nvSpPr>
      <xdr:spPr>
        <a:xfrm>
          <a:off x="9686925" y="381000"/>
          <a:ext cx="2476500" cy="209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Risk Score (Composite Index):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Weighted index of health and socioeconomic risk factors: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40% Percent Age 65+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25% Percent Diabetes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15% Percent Adult Obesity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10% Percent Poverty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10% Percent Uninsured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Higher values indicate greater overall population health risk.</a:t>
          </a:r>
        </a:p>
      </xdr:txBody>
    </xdr:sp>
    <xdr:clientData/>
  </xdr:twoCellAnchor>
  <xdr:twoCellAnchor>
    <xdr:from>
      <xdr:col>8</xdr:col>
      <xdr:colOff>771525</xdr:colOff>
      <xdr:row>14</xdr:row>
      <xdr:rowOff>180975</xdr:rowOff>
    </xdr:from>
    <xdr:to>
      <xdr:col>15</xdr:col>
      <xdr:colOff>581025</xdr:colOff>
      <xdr:row>28</xdr:row>
      <xdr:rowOff>171450</xdr:rowOff>
    </xdr:to>
    <xdr:graphicFrame macro="">
      <xdr:nvGraphicFramePr>
        <xdr:cNvPr id="3" name="Chart 2" descr="Chart type: Scatter. 'Risk Score' and 'Sum of Deaths per 100K' appear to form a cluster with 2 outliers.&#10;&#10;Description automatically generated">
          <a:extLst>
            <a:ext uri="{FF2B5EF4-FFF2-40B4-BE49-F238E27FC236}">
              <a16:creationId xmlns:a16="http://schemas.microsoft.com/office/drawing/2014/main" id="{75B3FDA9-30C4-49BE-9349-FB4EDE24F246}"/>
            </a:ext>
            <a:ext uri="{147F2762-F138-4A5C-976F-8EAC2B608ADB}">
              <a16:predDERef xmlns:a16="http://schemas.microsoft.com/office/drawing/2014/main" pred="{FBD31139-8121-79E0-187C-895ACEFF3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9525</xdr:rowOff>
    </xdr:from>
    <xdr:to>
      <xdr:col>12</xdr:col>
      <xdr:colOff>600075</xdr:colOff>
      <xdr:row>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5A0875-52F3-29FA-B8E8-89875935BE37}"/>
            </a:ext>
          </a:extLst>
        </xdr:cNvPr>
        <xdr:cNvSpPr txBox="1"/>
      </xdr:nvSpPr>
      <xdr:spPr>
        <a:xfrm>
          <a:off x="8791575" y="390525"/>
          <a:ext cx="302895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SVI (Social Vulnerability Index): </a:t>
          </a:r>
          <a:endParaRPr lang="en-US" sz="1100" b="1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Percentile ranking (0–1) relative to U.S. counties.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Higher values indicate greater social vulnerability.</a:t>
          </a:r>
        </a:p>
      </xdr:txBody>
    </xdr:sp>
    <xdr:clientData/>
  </xdr:twoCellAnchor>
  <xdr:twoCellAnchor>
    <xdr:from>
      <xdr:col>8</xdr:col>
      <xdr:colOff>9525</xdr:colOff>
      <xdr:row>8</xdr:row>
      <xdr:rowOff>171450</xdr:rowOff>
    </xdr:from>
    <xdr:to>
      <xdr:col>15</xdr:col>
      <xdr:colOff>314325</xdr:colOff>
      <xdr:row>23</xdr:row>
      <xdr:rowOff>57150</xdr:rowOff>
    </xdr:to>
    <xdr:graphicFrame macro="">
      <xdr:nvGraphicFramePr>
        <xdr:cNvPr id="3" name="Chart 2" descr="Chart type: Scatter. 'SVI Overall' and 'Cases per 100K' appear to form a cluster with 2 outliers.&#10;&#10;Description automatically generated">
          <a:extLst>
            <a:ext uri="{FF2B5EF4-FFF2-40B4-BE49-F238E27FC236}">
              <a16:creationId xmlns:a16="http://schemas.microsoft.com/office/drawing/2014/main" id="{CC1BA12C-E5E9-4D7C-A6AB-D34A492A5D41}"/>
            </a:ext>
            <a:ext uri="{147F2762-F138-4A5C-976F-8EAC2B608ADB}">
              <a16:predDERef xmlns:a16="http://schemas.microsoft.com/office/drawing/2014/main" pred="{355A0875-52F3-29FA-B8E8-89875935B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1000125</xdr:colOff>
      <xdr:row>2</xdr:row>
      <xdr:rowOff>0</xdr:rowOff>
    </xdr:from>
    <xdr:to>
      <xdr:col>10</xdr:col>
      <xdr:colOff>285750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FD449-00F4-5915-6FFA-06ADD3CDA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1514475</xdr:colOff>
      <xdr:row>18</xdr:row>
      <xdr:rowOff>180975</xdr:rowOff>
    </xdr:from>
    <xdr:to>
      <xdr:col>8</xdr:col>
      <xdr:colOff>600075</xdr:colOff>
      <xdr:row>33</xdr:row>
      <xdr:rowOff>66675</xdr:rowOff>
    </xdr:to>
    <xdr:graphicFrame macro="">
      <xdr:nvGraphicFramePr>
        <xdr:cNvPr id="4" name="Chart 3" descr="Chart type: Scatter. 'Risk Score' and 'Deaths per 100K' appear to form a cluster with 1 outlier.&#10;&#10;Description automatically generated">
          <a:extLst>
            <a:ext uri="{FF2B5EF4-FFF2-40B4-BE49-F238E27FC236}">
              <a16:creationId xmlns:a16="http://schemas.microsoft.com/office/drawing/2014/main" id="{41608906-DF9B-D8EB-9CD1-5DB86A492C59}"/>
            </a:ext>
            <a:ext uri="{147F2762-F138-4A5C-976F-8EAC2B608ADB}">
              <a16:predDERef xmlns:a16="http://schemas.microsoft.com/office/drawing/2014/main" pred="{682FD449-00F4-5915-6FFA-06ADD3CDA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1514475</xdr:colOff>
      <xdr:row>34</xdr:row>
      <xdr:rowOff>171450</xdr:rowOff>
    </xdr:from>
    <xdr:to>
      <xdr:col>8</xdr:col>
      <xdr:colOff>600075</xdr:colOff>
      <xdr:row>49</xdr:row>
      <xdr:rowOff>57150</xdr:rowOff>
    </xdr:to>
    <xdr:graphicFrame macro="">
      <xdr:nvGraphicFramePr>
        <xdr:cNvPr id="10" name="Chart 9" descr="Chart type: Scatter. 'Risk Score' and 'Sum of Deaths per 100K' appear to form a cluster with 2 outliers.&#10;&#10;Description automatically generated">
          <a:extLst>
            <a:ext uri="{FF2B5EF4-FFF2-40B4-BE49-F238E27FC236}">
              <a16:creationId xmlns:a16="http://schemas.microsoft.com/office/drawing/2014/main" id="{9772B00C-5E8F-AFD1-64FC-3A302816F7A9}"/>
            </a:ext>
            <a:ext uri="{147F2762-F138-4A5C-976F-8EAC2B608ADB}">
              <a16:predDERef xmlns:a16="http://schemas.microsoft.com/office/drawing/2014/main" pred="{41608906-DF9B-D8EB-9CD1-5DB86A492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314325</xdr:colOff>
      <xdr:row>81</xdr:row>
      <xdr:rowOff>0</xdr:rowOff>
    </xdr:from>
    <xdr:to>
      <xdr:col>5</xdr:col>
      <xdr:colOff>638175</xdr:colOff>
      <xdr:row>95</xdr:row>
      <xdr:rowOff>76200</xdr:rowOff>
    </xdr:to>
    <xdr:graphicFrame macro="">
      <xdr:nvGraphicFramePr>
        <xdr:cNvPr id="13" name="Chart 12" descr="Chart type: Stacked Bar. 'Deaths per 100K' and 'Primary Care Physicians per 100K' by 'County'&#10;&#10;Description automatically generated">
          <a:extLst>
            <a:ext uri="{FF2B5EF4-FFF2-40B4-BE49-F238E27FC236}">
              <a16:creationId xmlns:a16="http://schemas.microsoft.com/office/drawing/2014/main" id="{1622150D-3446-5D75-CBBE-CA727FFEE98F}"/>
            </a:ext>
            <a:ext uri="{147F2762-F138-4A5C-976F-8EAC2B608ADB}">
              <a16:predDERef xmlns:a16="http://schemas.microsoft.com/office/drawing/2014/main" pred="{9772B00C-5E8F-AFD1-64FC-3A302816F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600075</xdr:colOff>
      <xdr:row>96</xdr:row>
      <xdr:rowOff>171450</xdr:rowOff>
    </xdr:from>
    <xdr:to>
      <xdr:col>14</xdr:col>
      <xdr:colOff>323850</xdr:colOff>
      <xdr:row>111</xdr:row>
      <xdr:rowOff>57150</xdr:rowOff>
    </xdr:to>
    <xdr:graphicFrame macro="">
      <xdr:nvGraphicFramePr>
        <xdr:cNvPr id="15" name="Chart 14" descr="Chart type: Scatter. 'SVI Overall' and 'Cases per 100K' appear to form a cluster with 2 outliers.&#10;&#10;Description automatically generated">
          <a:extLst>
            <a:ext uri="{FF2B5EF4-FFF2-40B4-BE49-F238E27FC236}">
              <a16:creationId xmlns:a16="http://schemas.microsoft.com/office/drawing/2014/main" id="{57C6D3BF-4249-B1F7-4040-772700180D50}"/>
            </a:ext>
            <a:ext uri="{147F2762-F138-4A5C-976F-8EAC2B608ADB}">
              <a16:predDERef xmlns:a16="http://schemas.microsoft.com/office/drawing/2014/main" pred="{1622150D-3446-5D75-CBBE-CA727FFEE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2</xdr:row>
      <xdr:rowOff>180975</xdr:rowOff>
    </xdr:from>
    <xdr:to>
      <xdr:col>21</xdr:col>
      <xdr:colOff>914400</xdr:colOff>
      <xdr:row>17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1019E6-81E4-87B2-0276-9AE8ACA0EBB5}"/>
            </a:ext>
            <a:ext uri="{147F2762-F138-4A5C-976F-8EAC2B608ADB}">
              <a16:predDERef xmlns:a16="http://schemas.microsoft.com/office/drawing/2014/main" pred="{57C6D3BF-4249-B1F7-4040-772700180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5.931125694442" createdVersion="8" refreshedVersion="8" minRefreshableVersion="3" recordCount="58" xr:uid="{E91232A1-900D-4127-AEFA-2E5048E86AC8}">
  <cacheSource type="worksheet">
    <worksheetSource name="Table1"/>
  </cacheSource>
  <cacheFields count="27">
    <cacheField name="Geo ID" numFmtId="0">
      <sharedItems containsSemiMixedTypes="0" containsString="0" containsNumber="1" containsInteger="1" minValue="6001" maxValue="6115"/>
    </cacheField>
    <cacheField name="County" numFmtId="0">
      <sharedItems count="58">
        <s v="Los Angeles County"/>
        <s v="San Diego County"/>
        <s v="Orange County"/>
        <s v="Riverside County"/>
        <s v="San Bernardino County"/>
        <s v="Santa Clara County"/>
        <s v="Alameda County"/>
        <s v="Sacramento County"/>
        <s v="Contra Costa County"/>
        <s v="Fresno County"/>
        <s v="Kern County"/>
        <s v="San Francisco County"/>
        <s v="Ventura County"/>
        <s v="San Mateo County"/>
        <s v="San Joaquin County"/>
        <s v="Stanislaus County"/>
        <s v="Sonoma County"/>
        <s v="Tulare County"/>
        <s v="Santa Barbara County"/>
        <s v="Solano County"/>
        <s v="Monterey County"/>
        <s v="Placer County"/>
        <s v="San Luis Obispo County"/>
        <s v="Santa Cruz County"/>
        <s v="Merced County"/>
        <s v="Marin County"/>
        <s v="Butte County"/>
        <s v="Yolo County"/>
        <s v="El Dorado County"/>
        <s v="Imperial County"/>
        <s v="Shasta County"/>
        <s v="Madera County"/>
        <s v="Kings County"/>
        <s v="Napa County"/>
        <s v="Humboldt County"/>
        <s v="Nevada County"/>
        <s v="Sutter County"/>
        <s v="Mendocino County"/>
        <s v="Yuba County"/>
        <s v="Lake County"/>
        <s v="Tehama County"/>
        <s v="San Benito County"/>
        <s v="Tuolumne County"/>
        <s v="Calaveras County"/>
        <s v="Siskiyou County"/>
        <s v="Amador County"/>
        <s v="Lassen County"/>
        <s v="Glenn County"/>
        <s v="Del Norte County"/>
        <s v="Colusa County"/>
        <s v="Plumas County"/>
        <s v="Inyo County"/>
        <s v="Mariposa County"/>
        <s v="Mono County"/>
        <s v="Trinity County"/>
        <s v="Modoc County"/>
        <s v="Sierra County"/>
        <s v="Alpine County"/>
      </sharedItems>
    </cacheField>
    <cacheField name="Population" numFmtId="0">
      <sharedItems containsSemiMixedTypes="0" containsString="0" containsNumber="1" containsInteger="1" minValue="1111" maxValue="10103711"/>
    </cacheField>
    <cacheField name="Total Cases" numFmtId="0">
      <sharedItems containsSemiMixedTypes="0" containsString="0" containsNumber="1" containsInteger="1" minValue="23" maxValue="770914" count="58">
        <n v="770914"/>
        <n v="155657"/>
        <n v="166195"/>
        <n v="180552"/>
        <n v="194376"/>
        <n v="69878"/>
        <n v="51610"/>
        <n v="65539"/>
        <n v="40696"/>
        <n v="65399"/>
        <n v="68968"/>
        <n v="23225"/>
        <n v="39558"/>
        <n v="24588"/>
        <n v="45582"/>
        <n v="37522"/>
        <n v="19054"/>
        <n v="33442"/>
        <n v="17390"/>
        <n v="19215"/>
        <n v="27857"/>
        <n v="13754"/>
        <n v="10489"/>
        <n v="8748"/>
        <n v="19443"/>
        <n v="9799"/>
        <n v="7389"/>
        <n v="8237"/>
        <n v="5588"/>
        <n v="22263"/>
        <n v="8059"/>
        <n v="10490"/>
        <n v="16113"/>
        <n v="5741"/>
        <n v="1763"/>
        <n v="2608"/>
        <n v="6503"/>
        <n v="2557"/>
        <n v="3896"/>
        <n v="1815"/>
        <n v="2966"/>
        <n v="3672"/>
        <n v="2961"/>
        <n v="1129"/>
        <n v="1174"/>
        <n v="2416"/>
        <n v="4689"/>
        <n v="1457"/>
        <n v="759"/>
        <n v="1350"/>
        <n v="397"/>
        <n v="570"/>
        <n v="251"/>
        <n v="866"/>
        <n v="250"/>
        <n v="321"/>
        <n v="23"/>
        <n v="64"/>
      </sharedItems>
    </cacheField>
    <cacheField name="Total Deaths" numFmtId="0">
      <sharedItems containsSemiMixedTypes="0" containsString="0" containsNumber="1" containsInteger="1" minValue="0" maxValue="10345" count="52">
        <n v="10345"/>
        <n v="1534"/>
        <n v="1875"/>
        <n v="1985"/>
        <n v="1445"/>
        <n v="710"/>
        <n v="657"/>
        <n v="857"/>
        <n v="335"/>
        <n v="646"/>
        <n v="512"/>
        <n v="186"/>
        <n v="263"/>
        <n v="227"/>
        <n v="651"/>
        <n v="616"/>
        <n v="192"/>
        <n v="406"/>
        <n v="160"/>
        <n v="98"/>
        <n v="193"/>
        <n v="125"/>
        <n v="82"/>
        <n v="83"/>
        <n v="260"/>
        <n v="139"/>
        <n v="96"/>
        <n v="111"/>
        <n v="22"/>
        <n v="419"/>
        <n v="78"/>
        <n v="117"/>
        <n v="110"/>
        <n v="28"/>
        <n v="50"/>
        <n v="52"/>
        <n v="26"/>
        <n v="19"/>
        <n v="23"/>
        <n v="36"/>
        <n v="29"/>
        <n v="21"/>
        <n v="11"/>
        <n v="24"/>
        <n v="9"/>
        <n v="14"/>
        <n v="2"/>
        <n v="8"/>
        <n v="1"/>
        <n v="20"/>
        <n v="4"/>
        <n v="0"/>
      </sharedItems>
    </cacheField>
    <cacheField name="Cases per 100K" numFmtId="0">
      <sharedItems containsSemiMixedTypes="0" containsString="0" containsNumber="1" minValue="766.16" maxValue="15164.94"/>
    </cacheField>
    <cacheField name="Deaths per 100K" numFmtId="0">
      <sharedItems containsSemiMixedTypes="0" containsString="0" containsNumber="1" minValue="0" maxValue="230.66"/>
    </cacheField>
    <cacheField name="Total ED Hospitals" numFmtId="0">
      <sharedItems containsSemiMixedTypes="0" containsString="0" containsNumber="1" containsInteger="1" minValue="0" maxValue="121"/>
    </cacheField>
    <cacheField name="Total Urgent Cares" numFmtId="0">
      <sharedItems containsSemiMixedTypes="0" containsString="0" containsNumber="1" containsInteger="1" minValue="0" maxValue="128"/>
    </cacheField>
    <cacheField name="Urgent Care per 100K" numFmtId="0">
      <sharedItems containsSemiMixedTypes="0" containsString="0" containsNumber="1" containsInteger="1" minValue="0" maxValue="11"/>
    </cacheField>
    <cacheField name="Beds per 100K" numFmtId="0">
      <sharedItems containsSemiMixedTypes="0" containsString="0" containsNumber="1" containsInteger="1" minValue="0" maxValue="1290"/>
    </cacheField>
    <cacheField name="Primary Care Physicians per 100K" numFmtId="0">
      <sharedItems containsSemiMixedTypes="0" containsString="0" containsNumber="1" containsInteger="1" minValue="0" maxValue="160"/>
    </cacheField>
    <cacheField name="ED Hospitals per 100K" numFmtId="0">
      <sharedItems containsSemiMixedTypes="0" containsString="0" containsNumber="1" containsInteger="1" minValue="0" maxValue="45"/>
    </cacheField>
    <cacheField name="Median Urgent Care Distance" numFmtId="0">
      <sharedItems containsSemiMixedTypes="0" containsString="0" containsNumber="1" minValue="1.1299999999999999" maxValue="73.05"/>
    </cacheField>
    <cacheField name="Median HH Income" numFmtId="0">
      <sharedItems containsSemiMixedTypes="0" containsString="0" containsNumber="1" containsInteger="1" minValue="45113" maxValue="139462"/>
    </cacheField>
    <cacheField name="Percent Elderly" numFmtId="0">
      <sharedItems containsSemiMixedTypes="0" containsString="0" containsNumber="1" minValue="10.3" maxValue="29.08"/>
    </cacheField>
    <cacheField name="Percent Diabetes" numFmtId="0">
      <sharedItems containsSemiMixedTypes="0" containsString="0" containsNumber="1" minValue="7.2" maxValue="14.4"/>
    </cacheField>
    <cacheField name="Percent Obesity" numFmtId="0">
      <sharedItems containsSemiMixedTypes="0" containsString="0" containsNumber="1" minValue="19" maxValue="39.1"/>
    </cacheField>
    <cacheField name="Percent Poverty" numFmtId="0">
      <sharedItems containsSemiMixedTypes="0" containsString="0" containsNumber="1" minValue="5.5" maxValue="18.5"/>
    </cacheField>
    <cacheField name="Percent Uninsured" numFmtId="0">
      <sharedItems containsSemiMixedTypes="0" containsString="0" containsNumber="1" minValue="4.2" maxValue="13"/>
    </cacheField>
    <cacheField name="Risk Score" numFmtId="0">
      <sharedItems containsSemiMixedTypes="0" containsString="0" containsNumber="1" minValue="11.79" maxValue="21.2" count="55">
        <n v="14.7"/>
        <n v="13.91"/>
        <n v="13.29"/>
        <n v="15.7"/>
        <n v="15.73"/>
        <n v="11.79"/>
        <n v="12.83"/>
        <n v="14.6"/>
        <n v="14"/>
        <n v="15.72"/>
        <n v="15.55"/>
        <n v="12.86"/>
        <n v="14.62"/>
        <n v="12.7"/>
        <n v="14.46"/>
        <n v="14.92"/>
        <n v="15.17"/>
        <n v="15.89"/>
        <n v="15.3"/>
        <n v="14.86"/>
        <n v="15"/>
        <n v="16.05"/>
        <n v="14.77"/>
        <n v="16.100000000000001"/>
        <n v="15.23"/>
        <n v="16.66"/>
        <n v="14.11"/>
        <n v="16.03"/>
        <n v="16.89"/>
        <n v="17.25"/>
        <n v="16.5"/>
        <n v="14.8"/>
        <n v="15.51"/>
        <n v="16.55"/>
        <n v="18.63"/>
        <n v="18.52"/>
        <n v="15.11"/>
        <n v="18.84"/>
        <n v="17.8"/>
        <n v="14.07"/>
        <n v="18.71"/>
        <n v="19.72"/>
        <n v="19.43"/>
        <n v="19.100000000000001"/>
        <n v="15.07"/>
        <n v="16.75"/>
        <n v="17.260000000000002"/>
        <n v="16.190000000000001"/>
        <n v="19.649999999999999"/>
        <n v="18.100000000000001"/>
        <n v="20.309999999999999"/>
        <n v="21.2"/>
        <n v="20.91"/>
        <n v="19.89"/>
        <n v="20.79"/>
      </sharedItems>
    </cacheField>
    <cacheField name="Population Density" numFmtId="0">
      <sharedItems containsSemiMixedTypes="0" containsString="0" containsNumber="1" minValue="1.57" maxValue="18648.13"/>
    </cacheField>
    <cacheField name="SVI Socioeconomic" numFmtId="0">
      <sharedItems containsSemiMixedTypes="0" containsString="0" containsNumber="1" minValue="0.13" maxValue="0.97"/>
    </cacheField>
    <cacheField name="SVI Household" numFmtId="0">
      <sharedItems containsSemiMixedTypes="0" containsString="0" containsNumber="1" minValue="0.03" maxValue="0.98"/>
    </cacheField>
    <cacheField name="SVI Minority" numFmtId="0">
      <sharedItems containsSemiMixedTypes="0" containsString="0" containsNumber="1" minValue="0.37" maxValue="0.99"/>
    </cacheField>
    <cacheField name="SVI Overall" numFmtId="0">
      <sharedItems containsSemiMixedTypes="0" containsString="0" containsNumber="1" minValue="0.18" maxValue="0.99"/>
    </cacheField>
    <cacheField name="Risk Category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6037"/>
    <x v="0"/>
    <n v="10103711"/>
    <x v="0"/>
    <x v="0"/>
    <n v="7630.01"/>
    <n v="102.39"/>
    <n v="121"/>
    <n v="128"/>
    <n v="1"/>
    <n v="239"/>
    <n v="74"/>
    <n v="1"/>
    <n v="1.4"/>
    <n v="75624"/>
    <n v="13.65"/>
    <n v="10.3"/>
    <n v="28.8"/>
    <n v="13.2"/>
    <n v="10.199999999999999"/>
    <x v="0"/>
    <n v="2473.5300000000002"/>
    <n v="0.87"/>
    <n v="0.32"/>
    <n v="0.97"/>
    <n v="0.86"/>
    <x v="0"/>
  </r>
  <r>
    <n v="6073"/>
    <x v="1"/>
    <n v="3321237"/>
    <x v="1"/>
    <x v="1"/>
    <n v="4686.72"/>
    <n v="46.19"/>
    <n v="28"/>
    <n v="40"/>
    <n v="1"/>
    <n v="216"/>
    <n v="82"/>
    <n v="1"/>
    <n v="1.99"/>
    <n v="87126"/>
    <n v="14.07"/>
    <n v="9"/>
    <n v="28.4"/>
    <n v="9.5"/>
    <n v="8.1999999999999993"/>
    <x v="1"/>
    <n v="789.5"/>
    <n v="0.63"/>
    <n v="0.24"/>
    <n v="0.9"/>
    <n v="0.7"/>
    <x v="1"/>
  </r>
  <r>
    <n v="6059"/>
    <x v="2"/>
    <n v="3174289"/>
    <x v="2"/>
    <x v="2"/>
    <n v="5235.66"/>
    <n v="59.07"/>
    <n v="43"/>
    <n v="59"/>
    <n v="2"/>
    <n v="196"/>
    <n v="100"/>
    <n v="1"/>
    <n v="1.4"/>
    <n v="98786"/>
    <n v="14.79"/>
    <n v="9.1"/>
    <n v="23"/>
    <n v="9"/>
    <n v="7.5"/>
    <x v="2"/>
    <n v="3998.72"/>
    <n v="0.54"/>
    <n v="0.22"/>
    <n v="0.92"/>
    <n v="0.56000000000000005"/>
    <x v="1"/>
  </r>
  <r>
    <n v="6065"/>
    <x v="3"/>
    <n v="2414964"/>
    <x v="3"/>
    <x v="3"/>
    <n v="7476.38"/>
    <n v="82.2"/>
    <n v="20"/>
    <n v="50"/>
    <n v="2"/>
    <n v="139"/>
    <n v="45"/>
    <n v="1"/>
    <n v="1.93"/>
    <n v="76409"/>
    <n v="14.45"/>
    <n v="10.6"/>
    <n v="34.700000000000003"/>
    <n v="11.2"/>
    <n v="9.5"/>
    <x v="3"/>
    <n v="338.16"/>
    <n v="0.83"/>
    <n v="0.66"/>
    <n v="0.95"/>
    <n v="0.83"/>
    <x v="0"/>
  </r>
  <r>
    <n v="6071"/>
    <x v="4"/>
    <n v="2150945"/>
    <x v="4"/>
    <x v="4"/>
    <n v="9036.77"/>
    <n v="67.180000000000007"/>
    <n v="23"/>
    <n v="37"/>
    <n v="2"/>
    <n v="289"/>
    <n v="60"/>
    <n v="1"/>
    <n v="2.4"/>
    <n v="65984"/>
    <n v="11.56"/>
    <n v="11.7"/>
    <n v="39.1"/>
    <n v="14.3"/>
    <n v="8.9"/>
    <x v="4"/>
    <n v="107.76"/>
    <n v="0.88"/>
    <n v="0.78"/>
    <n v="0.97"/>
    <n v="0.91"/>
    <x v="0"/>
  </r>
  <r>
    <n v="6085"/>
    <x v="5"/>
    <n v="1932510"/>
    <x v="5"/>
    <x v="5"/>
    <n v="3615.92"/>
    <n v="36.74"/>
    <n v="16"/>
    <n v="13"/>
    <n v="1"/>
    <n v="218"/>
    <n v="107"/>
    <n v="1"/>
    <n v="2.04"/>
    <n v="139462"/>
    <n v="13.51"/>
    <n v="8.6"/>
    <n v="20.5"/>
    <n v="6.6"/>
    <n v="5"/>
    <x v="5"/>
    <n v="1490.52"/>
    <n v="0.17"/>
    <n v="0.11"/>
    <n v="0.96"/>
    <n v="0.37"/>
    <x v="1"/>
  </r>
  <r>
    <n v="6001"/>
    <x v="6"/>
    <n v="1660196"/>
    <x v="6"/>
    <x v="6"/>
    <n v="3108.67"/>
    <n v="39.57"/>
    <n v="23"/>
    <n v="10"/>
    <n v="1"/>
    <n v="214"/>
    <n v="113"/>
    <n v="1"/>
    <n v="2.2000000000000002"/>
    <n v="113518"/>
    <n v="13.91"/>
    <n v="9.1"/>
    <n v="24.3"/>
    <n v="8.6"/>
    <n v="4.9000000000000004"/>
    <x v="6"/>
    <n v="2253.12"/>
    <n v="0.3"/>
    <n v="0.12"/>
    <n v="0.96"/>
    <n v="0.52"/>
    <x v="1"/>
  </r>
  <r>
    <n v="6067"/>
    <x v="7"/>
    <n v="1527301"/>
    <x v="7"/>
    <x v="7"/>
    <n v="4291.16"/>
    <n v="56.11"/>
    <n v="13"/>
    <n v="18"/>
    <n v="1"/>
    <n v="209"/>
    <n v="91"/>
    <n v="1"/>
    <n v="2.04"/>
    <n v="72953"/>
    <n v="14.08"/>
    <n v="9.9"/>
    <n v="30.7"/>
    <n v="12.5"/>
    <n v="6.4"/>
    <x v="7"/>
    <n v="1593.28"/>
    <n v="0.65"/>
    <n v="0.68"/>
    <n v="0.91"/>
    <n v="0.77"/>
    <x v="0"/>
  </r>
  <r>
    <n v="6013"/>
    <x v="8"/>
    <n v="1145535"/>
    <x v="8"/>
    <x v="8"/>
    <n v="3552.58"/>
    <n v="29.24"/>
    <n v="13"/>
    <n v="8"/>
    <n v="1"/>
    <n v="130"/>
    <n v="103"/>
    <n v="1"/>
    <n v="3.41"/>
    <n v="106484"/>
    <n v="15.82"/>
    <n v="8.8000000000000007"/>
    <n v="28.1"/>
    <n v="7.2"/>
    <n v="5.4"/>
    <x v="8"/>
    <n v="1600.98"/>
    <n v="0.32"/>
    <n v="0.46"/>
    <n v="0.91"/>
    <n v="0.47"/>
    <x v="0"/>
  </r>
  <r>
    <n v="6019"/>
    <x v="9"/>
    <n v="985238"/>
    <x v="9"/>
    <x v="9"/>
    <n v="6637.89"/>
    <n v="65.569999999999993"/>
    <n v="11"/>
    <n v="7"/>
    <n v="1"/>
    <n v="188"/>
    <n v="69"/>
    <n v="1"/>
    <n v="3.25"/>
    <n v="61401"/>
    <n v="12.23"/>
    <n v="12.2"/>
    <n v="34.6"/>
    <n v="17.100000000000001"/>
    <n v="8.8000000000000007"/>
    <x v="9"/>
    <n v="166.19"/>
    <n v="0.96"/>
    <n v="0.88"/>
    <n v="0.97"/>
    <n v="0.96"/>
    <x v="0"/>
  </r>
  <r>
    <n v="6029"/>
    <x v="10"/>
    <n v="887356"/>
    <x v="10"/>
    <x v="10"/>
    <n v="7772.3"/>
    <n v="57.7"/>
    <n v="14"/>
    <n v="7"/>
    <n v="1"/>
    <n v="188"/>
    <n v="49"/>
    <n v="2"/>
    <n v="3.42"/>
    <n v="58583"/>
    <n v="10.97"/>
    <n v="12.5"/>
    <n v="35"/>
    <n v="18.3"/>
    <n v="9.6"/>
    <x v="10"/>
    <n v="109.71"/>
    <n v="0.96"/>
    <n v="0.82"/>
    <n v="0.95"/>
    <n v="0.97"/>
    <x v="0"/>
  </r>
  <r>
    <n v="6075"/>
    <x v="11"/>
    <n v="878040"/>
    <x v="11"/>
    <x v="11"/>
    <n v="2645.1"/>
    <n v="21.18"/>
    <n v="13"/>
    <n v="5"/>
    <n v="1"/>
    <n v="494"/>
    <n v="160"/>
    <n v="1"/>
    <n v="1.48"/>
    <n v="121722"/>
    <n v="15.79"/>
    <n v="8.8000000000000007"/>
    <n v="19"/>
    <n v="10"/>
    <n v="4.9000000000000004"/>
    <x v="11"/>
    <n v="18648.13"/>
    <n v="0.25"/>
    <n v="0.03"/>
    <n v="0.92"/>
    <n v="0.43"/>
    <x v="1"/>
  </r>
  <r>
    <n v="6111"/>
    <x v="12"/>
    <n v="849044"/>
    <x v="12"/>
    <x v="12"/>
    <n v="4659.12"/>
    <n v="30.98"/>
    <n v="10"/>
    <n v="24"/>
    <n v="3"/>
    <n v="146"/>
    <n v="81"/>
    <n v="1"/>
    <n v="1.52"/>
    <n v="90961"/>
    <n v="15.57"/>
    <n v="9.3000000000000007"/>
    <n v="28.9"/>
    <n v="9.1"/>
    <n v="8.1999999999999993"/>
    <x v="12"/>
    <n v="459.37"/>
    <n v="0.56999999999999995"/>
    <n v="0.35"/>
    <n v="0.9"/>
    <n v="0.61"/>
    <x v="0"/>
  </r>
  <r>
    <n v="6081"/>
    <x v="13"/>
    <n v="768901"/>
    <x v="13"/>
    <x v="13"/>
    <n v="3197.81"/>
    <n v="29.52"/>
    <n v="9"/>
    <n v="4"/>
    <n v="1"/>
    <n v="146"/>
    <n v="107"/>
    <n v="1"/>
    <n v="2.64"/>
    <n v="132369"/>
    <n v="16.170000000000002"/>
    <n v="8.3000000000000007"/>
    <n v="21.1"/>
    <n v="5.5"/>
    <n v="4.4000000000000004"/>
    <x v="13"/>
    <n v="1706.62"/>
    <n v="0.13"/>
    <n v="0.09"/>
    <n v="0.93"/>
    <n v="0.26"/>
    <x v="1"/>
  </r>
  <r>
    <n v="6077"/>
    <x v="14"/>
    <n v="743296"/>
    <x v="14"/>
    <x v="14"/>
    <n v="6132.42"/>
    <n v="87.58"/>
    <n v="9"/>
    <n v="7"/>
    <n v="1"/>
    <n v="141"/>
    <n v="60"/>
    <n v="1"/>
    <n v="3.68"/>
    <n v="70685"/>
    <n v="12.77"/>
    <n v="11"/>
    <n v="29.6"/>
    <n v="13.9"/>
    <n v="7.7"/>
    <x v="14"/>
    <n v="539.80999999999995"/>
    <n v="0.83"/>
    <n v="0.82"/>
    <n v="0.96"/>
    <n v="0.89"/>
    <x v="0"/>
  </r>
  <r>
    <n v="6099"/>
    <x v="15"/>
    <n v="544717"/>
    <x v="15"/>
    <x v="15"/>
    <n v="6888.35"/>
    <n v="113.09"/>
    <n v="9"/>
    <n v="7"/>
    <n v="1"/>
    <n v="206"/>
    <n v="65"/>
    <n v="2"/>
    <n v="2.16"/>
    <n v="64501"/>
    <n v="13.04"/>
    <n v="10.8"/>
    <n v="33.1"/>
    <n v="13"/>
    <n v="7.4"/>
    <x v="15"/>
    <n v="365.13"/>
    <n v="0.84"/>
    <n v="0.84"/>
    <n v="0.92"/>
    <n v="0.85"/>
    <x v="0"/>
  </r>
  <r>
    <n v="6097"/>
    <x v="16"/>
    <n v="502469"/>
    <x v="16"/>
    <x v="16"/>
    <n v="3792.07"/>
    <n v="38.21"/>
    <n v="13"/>
    <n v="4"/>
    <n v="1"/>
    <n v="280"/>
    <n v="101"/>
    <n v="3"/>
    <n v="5.04"/>
    <n v="87366"/>
    <n v="19.62"/>
    <n v="8.1999999999999993"/>
    <n v="25.2"/>
    <n v="7.8"/>
    <n v="7.1"/>
    <x v="16"/>
    <n v="315.31"/>
    <n v="0.38"/>
    <n v="0.34"/>
    <n v="0.77"/>
    <n v="0.51"/>
    <x v="0"/>
  </r>
  <r>
    <n v="6107"/>
    <x v="17"/>
    <n v="462308"/>
    <x v="17"/>
    <x v="17"/>
    <n v="7233.71"/>
    <n v="87.82"/>
    <n v="10"/>
    <n v="11"/>
    <n v="2"/>
    <n v="252"/>
    <n v="44"/>
    <n v="2"/>
    <n v="1.95"/>
    <n v="62058"/>
    <n v="11.39"/>
    <n v="13.1"/>
    <n v="36"/>
    <n v="17.100000000000001"/>
    <n v="9.5"/>
    <x v="17"/>
    <n v="96.18"/>
    <n v="0.97"/>
    <n v="0.86"/>
    <n v="0.97"/>
    <n v="0.93"/>
    <x v="0"/>
  </r>
  <r>
    <n v="6083"/>
    <x v="18"/>
    <n v="445298"/>
    <x v="18"/>
    <x v="18"/>
    <n v="3905.25"/>
    <n v="35.93"/>
    <n v="7"/>
    <n v="11"/>
    <n v="2"/>
    <n v="211"/>
    <n v="76"/>
    <n v="2"/>
    <n v="1.79"/>
    <n v="86136"/>
    <n v="15.29"/>
    <n v="9.8000000000000007"/>
    <n v="30.1"/>
    <n v="10.5"/>
    <n v="11.7"/>
    <x v="18"/>
    <n v="162.72999999999999"/>
    <n v="0.81"/>
    <n v="0.33"/>
    <n v="0.91"/>
    <n v="0.84"/>
    <x v="0"/>
  </r>
  <r>
    <n v="6095"/>
    <x v="19"/>
    <n v="443511"/>
    <x v="19"/>
    <x v="19"/>
    <n v="4332.47"/>
    <n v="22.1"/>
    <n v="7"/>
    <n v="4"/>
    <n v="1"/>
    <n v="242"/>
    <n v="81"/>
    <n v="2"/>
    <n v="2.37"/>
    <n v="83678"/>
    <n v="15.74"/>
    <n v="10"/>
    <n v="30.1"/>
    <n v="9.3000000000000007"/>
    <n v="6.2"/>
    <x v="19"/>
    <n v="540.91999999999996"/>
    <n v="0.45"/>
    <n v="0.56000000000000005"/>
    <n v="0.94"/>
    <n v="0.63"/>
    <x v="0"/>
  </r>
  <r>
    <n v="6053"/>
    <x v="20"/>
    <n v="434534"/>
    <x v="20"/>
    <x v="20"/>
    <n v="6410.78"/>
    <n v="44.42"/>
    <n v="6"/>
    <n v="13"/>
    <n v="3"/>
    <n v="162"/>
    <n v="66"/>
    <n v="1"/>
    <n v="1.84"/>
    <n v="85031"/>
    <n v="13.64"/>
    <n v="11.1"/>
    <n v="31.7"/>
    <n v="11.6"/>
    <n v="11.5"/>
    <x v="18"/>
    <n v="131.94"/>
    <n v="0.82"/>
    <n v="0.54"/>
    <n v="0.97"/>
    <n v="0.85"/>
    <x v="0"/>
  </r>
  <r>
    <n v="6061"/>
    <x v="21"/>
    <n v="385115"/>
    <x v="21"/>
    <x v="21"/>
    <n v="3571.4"/>
    <n v="32.46"/>
    <n v="3"/>
    <n v="4"/>
    <n v="1"/>
    <n v="184"/>
    <n v="124"/>
    <n v="1"/>
    <n v="3.35"/>
    <n v="100662"/>
    <n v="19.559999999999999"/>
    <n v="7.5"/>
    <n v="28"/>
    <n v="6.5"/>
    <n v="4.5"/>
    <x v="20"/>
    <n v="278.45"/>
    <n v="0.13"/>
    <n v="0.28999999999999998"/>
    <n v="0.66"/>
    <n v="0.18"/>
    <x v="0"/>
  </r>
  <r>
    <n v="6079"/>
    <x v="22"/>
    <n v="282481"/>
    <x v="22"/>
    <x v="22"/>
    <n v="3713.17"/>
    <n v="29.03"/>
    <n v="5"/>
    <n v="5"/>
    <n v="2"/>
    <n v="534"/>
    <n v="84"/>
    <n v="2"/>
    <n v="2.77"/>
    <n v="79455"/>
    <n v="20.07"/>
    <n v="8.4"/>
    <n v="27.9"/>
    <n v="10.6"/>
    <n v="6.8"/>
    <x v="21"/>
    <n v="85.59"/>
    <n v="0.35"/>
    <n v="0.15"/>
    <n v="0.7"/>
    <n v="0.45"/>
    <x v="0"/>
  </r>
  <r>
    <n v="6087"/>
    <x v="23"/>
    <n v="274856"/>
    <x v="23"/>
    <x v="23"/>
    <n v="3182.76"/>
    <n v="30.2"/>
    <n v="3"/>
    <n v="9"/>
    <n v="3"/>
    <n v="133"/>
    <n v="104"/>
    <n v="1"/>
    <n v="1.1299999999999999"/>
    <n v="93015"/>
    <n v="16.440000000000001"/>
    <n v="8.8000000000000007"/>
    <n v="27.5"/>
    <n v="10.7"/>
    <n v="8"/>
    <x v="22"/>
    <n v="613.71"/>
    <n v="0.52"/>
    <n v="0.14000000000000001"/>
    <n v="0.82"/>
    <n v="0.61"/>
    <x v="0"/>
  </r>
  <r>
    <n v="6047"/>
    <x v="24"/>
    <n v="271096"/>
    <x v="24"/>
    <x v="24"/>
    <n v="7172"/>
    <n v="95.91"/>
    <n v="6"/>
    <n v="6"/>
    <n v="2"/>
    <n v="82"/>
    <n v="44"/>
    <n v="2"/>
    <n v="2.04"/>
    <n v="58998"/>
    <n v="11.24"/>
    <n v="12.9"/>
    <n v="38"/>
    <n v="16.3"/>
    <n v="10.5"/>
    <x v="23"/>
    <n v="141.21"/>
    <n v="0.96"/>
    <n v="0.9"/>
    <n v="0.97"/>
    <n v="0.97"/>
    <x v="0"/>
  </r>
  <r>
    <n v="6041"/>
    <x v="25"/>
    <n v="259749"/>
    <x v="25"/>
    <x v="25"/>
    <n v="3772.49"/>
    <n v="53.51"/>
    <n v="4"/>
    <n v="3"/>
    <n v="1"/>
    <n v="175"/>
    <n v="147"/>
    <n v="2"/>
    <n v="2.42"/>
    <n v="127601"/>
    <n v="22.29"/>
    <n v="7.2"/>
    <n v="23.3"/>
    <n v="6"/>
    <n v="4.2"/>
    <x v="24"/>
    <n v="498.52"/>
    <n v="0.13"/>
    <n v="0.36"/>
    <n v="0.67"/>
    <n v="0.33"/>
    <x v="0"/>
  </r>
  <r>
    <n v="6007"/>
    <x v="26"/>
    <n v="228696"/>
    <x v="26"/>
    <x v="26"/>
    <n v="3230.93"/>
    <n v="41.98"/>
    <n v="6"/>
    <n v="5"/>
    <n v="2"/>
    <n v="201"/>
    <n v="62"/>
    <n v="3"/>
    <n v="2.94"/>
    <n v="54718"/>
    <n v="18.21"/>
    <n v="9.4"/>
    <n v="30.5"/>
    <n v="17.3"/>
    <n v="7.2"/>
    <x v="25"/>
    <n v="136.47999999999999"/>
    <n v="0.75"/>
    <n v="0.55000000000000004"/>
    <n v="0.67"/>
    <n v="0.83"/>
    <x v="0"/>
  </r>
  <r>
    <n v="6113"/>
    <x v="27"/>
    <n v="218477"/>
    <x v="27"/>
    <x v="27"/>
    <n v="3770.19"/>
    <n v="50.81"/>
    <n v="3"/>
    <n v="1"/>
    <n v="0"/>
    <n v="71"/>
    <n v="122"/>
    <n v="1"/>
    <n v="3.64"/>
    <n v="80668"/>
    <n v="12.49"/>
    <n v="9.8000000000000007"/>
    <n v="30.6"/>
    <n v="14.8"/>
    <n v="5.9"/>
    <x v="26"/>
    <n v="215.6"/>
    <n v="0.61"/>
    <n v="0.17"/>
    <n v="0.89"/>
    <n v="0.73"/>
    <x v="0"/>
  </r>
  <r>
    <n v="6017"/>
    <x v="28"/>
    <n v="188679"/>
    <x v="28"/>
    <x v="28"/>
    <n v="2961.64"/>
    <n v="11.66"/>
    <n v="2"/>
    <n v="3"/>
    <n v="2"/>
    <n v="112"/>
    <n v="79"/>
    <n v="1"/>
    <n v="4.53"/>
    <n v="87792"/>
    <n v="21.23"/>
    <n v="7.7"/>
    <n v="28.2"/>
    <n v="8.4"/>
    <n v="5.4"/>
    <x v="27"/>
    <n v="111.45"/>
    <n v="0.2"/>
    <n v="0.22"/>
    <n v="0.59"/>
    <n v="0.23"/>
    <x v="0"/>
  </r>
  <r>
    <n v="6025"/>
    <x v="29"/>
    <n v="181649"/>
    <x v="29"/>
    <x v="29"/>
    <n v="12256.05"/>
    <n v="230.66"/>
    <n v="6"/>
    <n v="1"/>
    <n v="1"/>
    <n v="149"/>
    <n v="26"/>
    <n v="3"/>
    <n v="9.2799999999999994"/>
    <n v="47599"/>
    <n v="12.91"/>
    <n v="14.4"/>
    <n v="36.200000000000003"/>
    <n v="18.100000000000001"/>
    <n v="8.9"/>
    <x v="28"/>
    <n v="43.25"/>
    <n v="0.97"/>
    <n v="0.94"/>
    <n v="0.99"/>
    <n v="0.99"/>
    <x v="0"/>
  </r>
  <r>
    <n v="6089"/>
    <x v="30"/>
    <n v="179384"/>
    <x v="30"/>
    <x v="30"/>
    <n v="4492.6000000000004"/>
    <n v="43.48"/>
    <n v="8"/>
    <n v="7"/>
    <n v="4"/>
    <n v="317"/>
    <n v="76"/>
    <n v="4"/>
    <n v="2.4300000000000002"/>
    <n v="59108"/>
    <n v="20.6"/>
    <n v="9"/>
    <n v="31.1"/>
    <n v="13.9"/>
    <n v="7"/>
    <x v="29"/>
    <n v="47.48"/>
    <n v="0.59"/>
    <n v="0.79"/>
    <n v="0.56000000000000005"/>
    <n v="0.75"/>
    <x v="2"/>
  </r>
  <r>
    <n v="6039"/>
    <x v="31"/>
    <n v="155423"/>
    <x v="31"/>
    <x v="31"/>
    <n v="6749.32"/>
    <n v="75.28"/>
    <n v="1"/>
    <n v="4"/>
    <n v="3"/>
    <n v="199"/>
    <n v="44"/>
    <n v="1"/>
    <n v="2.09"/>
    <n v="68744"/>
    <n v="14.02"/>
    <n v="12.3"/>
    <n v="35.9"/>
    <n v="14.1"/>
    <n v="10.199999999999999"/>
    <x v="30"/>
    <n v="72.97"/>
    <n v="0.96"/>
    <n v="0.83"/>
    <n v="0.95"/>
    <n v="0.93"/>
    <x v="0"/>
  </r>
  <r>
    <n v="6031"/>
    <x v="32"/>
    <n v="149665"/>
    <x v="32"/>
    <x v="32"/>
    <n v="10766.04"/>
    <n v="73.5"/>
    <n v="2"/>
    <n v="1"/>
    <n v="1"/>
    <n v="130"/>
    <n v="38"/>
    <n v="1"/>
    <n v="6.73"/>
    <n v="60319"/>
    <n v="10.3"/>
    <n v="12.3"/>
    <n v="35.1"/>
    <n v="14.5"/>
    <n v="8.9"/>
    <x v="31"/>
    <n v="108.62"/>
    <n v="0.92"/>
    <n v="0.83"/>
    <n v="0.96"/>
    <n v="0.95"/>
    <x v="0"/>
  </r>
  <r>
    <n v="6055"/>
    <x v="33"/>
    <n v="139878"/>
    <x v="33"/>
    <x v="33"/>
    <n v="4104.29"/>
    <n v="20.02"/>
    <n v="2"/>
    <n v="1"/>
    <n v="1"/>
    <n v="1158"/>
    <n v="99"/>
    <n v="1"/>
    <n v="10.33"/>
    <n v="92149"/>
    <n v="19.2"/>
    <n v="8.6"/>
    <n v="26.9"/>
    <n v="7.9"/>
    <n v="8.6"/>
    <x v="32"/>
    <n v="185.19"/>
    <n v="0.41"/>
    <n v="0.38"/>
    <n v="0.87"/>
    <n v="0.62"/>
    <x v="0"/>
  </r>
  <r>
    <n v="6023"/>
    <x v="34"/>
    <n v="136507"/>
    <x v="34"/>
    <x v="28"/>
    <n v="1291.51"/>
    <n v="16.12"/>
    <n v="8"/>
    <n v="0"/>
    <n v="0"/>
    <n v="195"/>
    <n v="59"/>
    <n v="6"/>
    <n v="67.94"/>
    <n v="56071"/>
    <n v="17.84"/>
    <n v="9.6"/>
    <n v="31.1"/>
    <n v="15.8"/>
    <n v="7.7"/>
    <x v="33"/>
    <n v="38.14"/>
    <n v="0.83"/>
    <n v="0.52"/>
    <n v="0.64"/>
    <n v="0.83"/>
    <x v="0"/>
  </r>
  <r>
    <n v="6057"/>
    <x v="35"/>
    <n v="99367"/>
    <x v="35"/>
    <x v="34"/>
    <n v="2624.61"/>
    <n v="50.32"/>
    <n v="3"/>
    <n v="2"/>
    <n v="2"/>
    <n v="171"/>
    <n v="74"/>
    <n v="3"/>
    <n v="4.62"/>
    <n v="74158"/>
    <n v="27.41"/>
    <n v="7.6"/>
    <n v="28.2"/>
    <n v="9.1999999999999993"/>
    <n v="6.2"/>
    <x v="34"/>
    <n v="103.8"/>
    <n v="0.25"/>
    <n v="0.31"/>
    <n v="0.46"/>
    <n v="0.22"/>
    <x v="2"/>
  </r>
  <r>
    <n v="6101"/>
    <x v="36"/>
    <n v="96204"/>
    <x v="36"/>
    <x v="35"/>
    <n v="6759.59"/>
    <n v="54.05"/>
    <n v="2"/>
    <n v="3"/>
    <n v="3"/>
    <n v="15"/>
    <n v="77"/>
    <n v="2"/>
    <n v="1.67"/>
    <n v="65791"/>
    <n v="15.36"/>
    <n v="10.5"/>
    <n v="29.9"/>
    <n v="11.5"/>
    <n v="9"/>
    <x v="18"/>
    <n v="159.81"/>
    <n v="0.83"/>
    <n v="0.87"/>
    <n v="0.9"/>
    <n v="0.86"/>
    <x v="0"/>
  </r>
  <r>
    <n v="6045"/>
    <x v="37"/>
    <n v="87576"/>
    <x v="37"/>
    <x v="36"/>
    <n v="2919.75"/>
    <n v="29.69"/>
    <n v="6"/>
    <n v="0"/>
    <n v="0"/>
    <n v="116"/>
    <n v="88"/>
    <n v="7"/>
    <n v="58.3"/>
    <n v="53176"/>
    <n v="22.08"/>
    <n v="9.6999999999999993"/>
    <n v="31.4"/>
    <n v="14.3"/>
    <n v="11.2"/>
    <x v="35"/>
    <n v="24.84"/>
    <n v="0.88"/>
    <n v="0.97"/>
    <n v="0.75"/>
    <n v="0.96"/>
    <x v="2"/>
  </r>
  <r>
    <n v="6115"/>
    <x v="38"/>
    <n v="76578"/>
    <x v="38"/>
    <x v="37"/>
    <n v="5087.62"/>
    <n v="24.81"/>
    <n v="1"/>
    <n v="1"/>
    <n v="1"/>
    <n v="273"/>
    <n v="19"/>
    <n v="1"/>
    <n v="4.59"/>
    <n v="56278"/>
    <n v="12.37"/>
    <n v="10.4"/>
    <n v="34"/>
    <n v="16.3"/>
    <n v="8.3000000000000007"/>
    <x v="36"/>
    <n v="122.66"/>
    <n v="0.84"/>
    <n v="0.89"/>
    <n v="0.85"/>
    <n v="0.91"/>
    <x v="0"/>
  </r>
  <r>
    <n v="6033"/>
    <x v="39"/>
    <n v="64111"/>
    <x v="39"/>
    <x v="38"/>
    <n v="2831.03"/>
    <n v="35.880000000000003"/>
    <n v="4"/>
    <n v="0"/>
    <n v="0"/>
    <n v="78"/>
    <n v="45"/>
    <n v="6"/>
    <n v="30.16"/>
    <n v="52345"/>
    <n v="22.85"/>
    <n v="10.1"/>
    <n v="32.1"/>
    <n v="15.9"/>
    <n v="7.7"/>
    <x v="37"/>
    <n v="51.15"/>
    <n v="0.88"/>
    <n v="0.93"/>
    <n v="0.69"/>
    <n v="0.9"/>
    <x v="2"/>
  </r>
  <r>
    <n v="6103"/>
    <x v="40"/>
    <n v="63847"/>
    <x v="40"/>
    <x v="39"/>
    <n v="4645.4799999999996"/>
    <n v="56.38"/>
    <n v="2"/>
    <n v="2"/>
    <n v="3"/>
    <n v="96"/>
    <n v="48"/>
    <n v="3"/>
    <n v="8.5"/>
    <n v="61571"/>
    <n v="19.8"/>
    <n v="10.4"/>
    <n v="34.299999999999997"/>
    <n v="13.3"/>
    <n v="8.1"/>
    <x v="38"/>
    <n v="21.76"/>
    <n v="0.85"/>
    <n v="0.98"/>
    <n v="0.71"/>
    <n v="0.93"/>
    <x v="2"/>
  </r>
  <r>
    <n v="6069"/>
    <x v="41"/>
    <n v="60164"/>
    <x v="41"/>
    <x v="40"/>
    <n v="6103.32"/>
    <n v="48.2"/>
    <n v="0"/>
    <n v="1"/>
    <n v="2"/>
    <n v="283"/>
    <n v="30"/>
    <n v="0"/>
    <n v="1.38"/>
    <n v="91185"/>
    <n v="12.69"/>
    <n v="10.4"/>
    <n v="31.8"/>
    <n v="7.9"/>
    <n v="8.3000000000000007"/>
    <x v="39"/>
    <n v="44.32"/>
    <n v="0.69"/>
    <n v="0.59"/>
    <n v="0.95"/>
    <n v="0.56999999999999995"/>
    <x v="0"/>
  </r>
  <r>
    <n v="6109"/>
    <x v="42"/>
    <n v="53976"/>
    <x v="42"/>
    <x v="41"/>
    <n v="5485.77"/>
    <n v="38.909999999999997"/>
    <n v="1"/>
    <n v="0"/>
    <n v="0"/>
    <n v="279"/>
    <n v="61"/>
    <n v="2"/>
    <n v="40.76"/>
    <n v="63336"/>
    <n v="26.06"/>
    <n v="8.6"/>
    <n v="28.6"/>
    <n v="12.1"/>
    <n v="6.4"/>
    <x v="40"/>
    <n v="24.38"/>
    <n v="0.54"/>
    <n v="0.43"/>
    <n v="0.55000000000000004"/>
    <n v="0.6"/>
    <x v="2"/>
  </r>
  <r>
    <n v="6009"/>
    <x v="43"/>
    <n v="45681"/>
    <x v="43"/>
    <x v="28"/>
    <n v="2471.4899999999998"/>
    <n v="48.16"/>
    <n v="1"/>
    <n v="0"/>
    <n v="0"/>
    <n v="54"/>
    <n v="43"/>
    <n v="2"/>
    <n v="35.31"/>
    <n v="66329"/>
    <n v="28.02"/>
    <n v="8.6999999999999993"/>
    <n v="29.7"/>
    <n v="11.6"/>
    <n v="7.2"/>
    <x v="41"/>
    <n v="44.93"/>
    <n v="0.49"/>
    <n v="0.55000000000000004"/>
    <n v="0.54"/>
    <n v="0.32"/>
    <x v="2"/>
  </r>
  <r>
    <n v="6093"/>
    <x v="44"/>
    <n v="43622"/>
    <x v="44"/>
    <x v="42"/>
    <n v="2691.3"/>
    <n v="25.22"/>
    <n v="4"/>
    <n v="5"/>
    <n v="11"/>
    <n v="134"/>
    <n v="81"/>
    <n v="9"/>
    <n v="8.4"/>
    <n v="49441"/>
    <n v="25.24"/>
    <n v="9.6"/>
    <n v="31.6"/>
    <n v="14.3"/>
    <n v="7.6"/>
    <x v="42"/>
    <n v="6.93"/>
    <n v="0.74"/>
    <n v="0.71"/>
    <n v="0.62"/>
    <n v="0.75"/>
    <x v="2"/>
  </r>
  <r>
    <n v="6005"/>
    <x v="45"/>
    <n v="38529"/>
    <x v="45"/>
    <x v="43"/>
    <n v="6270.6"/>
    <n v="62.29"/>
    <n v="1"/>
    <n v="0"/>
    <n v="0"/>
    <n v="130"/>
    <n v="57"/>
    <n v="3"/>
    <n v="23.18"/>
    <n v="68141"/>
    <n v="27"/>
    <n v="8.5"/>
    <n v="30"/>
    <n v="10.3"/>
    <n v="6.4"/>
    <x v="43"/>
    <n v="65.63"/>
    <n v="0.37"/>
    <n v="0.43"/>
    <n v="0.6"/>
    <n v="0.59"/>
    <x v="2"/>
  </r>
  <r>
    <n v="6035"/>
    <x v="46"/>
    <n v="30920"/>
    <x v="46"/>
    <x v="44"/>
    <n v="15164.94"/>
    <n v="29.11"/>
    <n v="2"/>
    <n v="1"/>
    <n v="3"/>
    <n v="83"/>
    <n v="27"/>
    <n v="7"/>
    <n v="7.2"/>
    <n v="63803"/>
    <n v="14.45"/>
    <n v="10.1"/>
    <n v="31.8"/>
    <n v="15.5"/>
    <n v="4.5"/>
    <x v="44"/>
    <n v="6.74"/>
    <n v="0.61"/>
    <n v="0.27"/>
    <n v="0.74"/>
    <n v="0.64"/>
    <x v="0"/>
  </r>
  <r>
    <n v="6021"/>
    <x v="47"/>
    <n v="27926"/>
    <x v="47"/>
    <x v="45"/>
    <n v="5217.3599999999997"/>
    <n v="50.13"/>
    <n v="2"/>
    <n v="0"/>
    <n v="0"/>
    <n v="53"/>
    <n v="14"/>
    <n v="7"/>
    <n v="18.46"/>
    <n v="57779"/>
    <n v="16.37"/>
    <n v="10.8"/>
    <n v="33.6"/>
    <n v="12.4"/>
    <n v="12.2"/>
    <x v="45"/>
    <n v="21.36"/>
    <n v="0.86"/>
    <n v="0.94"/>
    <n v="0.87"/>
    <n v="0.89"/>
    <x v="0"/>
  </r>
  <r>
    <n v="6015"/>
    <x v="48"/>
    <n v="27351"/>
    <x v="48"/>
    <x v="46"/>
    <n v="2775.04"/>
    <n v="7.31"/>
    <n v="1"/>
    <n v="1"/>
    <n v="4"/>
    <n v="175"/>
    <n v="64"/>
    <n v="4"/>
    <n v="1.73"/>
    <n v="47442"/>
    <n v="17.78"/>
    <n v="10.6"/>
    <n v="32.9"/>
    <n v="18.5"/>
    <n v="7.1"/>
    <x v="46"/>
    <n v="27.52"/>
    <n v="0.81"/>
    <n v="0.78"/>
    <n v="0.78"/>
    <n v="0.95"/>
    <x v="2"/>
  </r>
  <r>
    <n v="6011"/>
    <x v="49"/>
    <n v="21579"/>
    <x v="49"/>
    <x v="47"/>
    <n v="6256.08"/>
    <n v="37.07"/>
    <n v="2"/>
    <n v="1"/>
    <n v="5"/>
    <n v="0"/>
    <n v="28"/>
    <n v="9"/>
    <n v="8.25"/>
    <n v="59422"/>
    <n v="14.62"/>
    <n v="11.4"/>
    <n v="34.4"/>
    <n v="10.3"/>
    <n v="13"/>
    <x v="47"/>
    <n v="18.68"/>
    <n v="0.74"/>
    <n v="0.91"/>
    <n v="0.95"/>
    <n v="0.76"/>
    <x v="0"/>
  </r>
  <r>
    <n v="6063"/>
    <x v="50"/>
    <n v="18660"/>
    <x v="50"/>
    <x v="48"/>
    <n v="2127.5500000000002"/>
    <n v="5.36"/>
    <n v="7"/>
    <n v="1"/>
    <n v="5"/>
    <n v="664"/>
    <n v="90"/>
    <n v="37"/>
    <n v="30.42"/>
    <n v="58489"/>
    <n v="27.69"/>
    <n v="8.3000000000000007"/>
    <n v="30.2"/>
    <n v="13.5"/>
    <n v="6.2"/>
    <x v="48"/>
    <n v="7.38"/>
    <n v="0.28999999999999998"/>
    <n v="0.45"/>
    <n v="0.51"/>
    <n v="0.4"/>
    <x v="2"/>
  </r>
  <r>
    <n v="6027"/>
    <x v="51"/>
    <n v="17868"/>
    <x v="51"/>
    <x v="49"/>
    <n v="3190.06"/>
    <n v="111.93"/>
    <n v="4"/>
    <n v="0"/>
    <n v="0"/>
    <n v="161"/>
    <n v="83"/>
    <n v="22"/>
    <n v="67.489999999999995"/>
    <n v="55981"/>
    <n v="23.27"/>
    <n v="8.9"/>
    <n v="29.7"/>
    <n v="10.9"/>
    <n v="10.199999999999999"/>
    <x v="49"/>
    <n v="1.76"/>
    <n v="0.28000000000000003"/>
    <n v="0.52"/>
    <n v="0.78"/>
    <n v="0.53"/>
    <x v="2"/>
  </r>
  <r>
    <n v="6043"/>
    <x v="52"/>
    <n v="17414"/>
    <x v="52"/>
    <x v="50"/>
    <n v="1441.37"/>
    <n v="22.97"/>
    <n v="2"/>
    <n v="0"/>
    <n v="0"/>
    <n v="192"/>
    <n v="35"/>
    <n v="12"/>
    <n v="22.15"/>
    <n v="56887"/>
    <n v="28.18"/>
    <n v="9"/>
    <n v="31"/>
    <n v="13.3"/>
    <n v="8.1"/>
    <x v="50"/>
    <n v="11.95"/>
    <n v="0.69"/>
    <n v="0.91"/>
    <n v="0.56999999999999995"/>
    <n v="0.83"/>
    <x v="2"/>
  </r>
  <r>
    <n v="6051"/>
    <x v="53"/>
    <n v="14354"/>
    <x v="53"/>
    <x v="50"/>
    <n v="6033.16"/>
    <n v="27.87"/>
    <n v="2"/>
    <n v="0"/>
    <n v="0"/>
    <n v="117"/>
    <n v="69"/>
    <n v="14"/>
    <n v="45.27"/>
    <n v="73204"/>
    <n v="15.27"/>
    <n v="8.6"/>
    <n v="29.6"/>
    <n v="9"/>
    <n v="11"/>
    <x v="0"/>
    <n v="4.72"/>
    <n v="0.47"/>
    <n v="0.04"/>
    <n v="0.74"/>
    <n v="0.42"/>
    <x v="0"/>
  </r>
  <r>
    <n v="6105"/>
    <x v="54"/>
    <n v="12726"/>
    <x v="54"/>
    <x v="50"/>
    <n v="1964.48"/>
    <n v="31.43"/>
    <n v="2"/>
    <n v="0"/>
    <n v="0"/>
    <n v="385"/>
    <n v="33"/>
    <n v="16"/>
    <n v="35.72"/>
    <n v="45113"/>
    <n v="27.96"/>
    <n v="10.1"/>
    <n v="32.799999999999997"/>
    <n v="18"/>
    <n v="7.7"/>
    <x v="51"/>
    <n v="3.94"/>
    <n v="0.84"/>
    <n v="0.86"/>
    <n v="0.54"/>
    <n v="0.86"/>
    <x v="2"/>
  </r>
  <r>
    <n v="6049"/>
    <x v="55"/>
    <n v="8876"/>
    <x v="55"/>
    <x v="48"/>
    <n v="3616.49"/>
    <n v="11.27"/>
    <n v="4"/>
    <n v="0"/>
    <n v="0"/>
    <n v="1290"/>
    <n v="57"/>
    <n v="45"/>
    <n v="73.05"/>
    <n v="46838"/>
    <n v="27.41"/>
    <n v="9.6999999999999993"/>
    <n v="32.4"/>
    <n v="17.899999999999999"/>
    <n v="8.6999999999999993"/>
    <x v="52"/>
    <n v="2.2400000000000002"/>
    <n v="0.75"/>
    <n v="0.82"/>
    <n v="0.59"/>
    <n v="0.77"/>
    <x v="2"/>
  </r>
  <r>
    <n v="6091"/>
    <x v="56"/>
    <n v="3002"/>
    <x v="56"/>
    <x v="51"/>
    <n v="766.16"/>
    <n v="0"/>
    <n v="0"/>
    <n v="0"/>
    <n v="0"/>
    <n v="0"/>
    <n v="34"/>
    <n v="0"/>
    <n v="22.64"/>
    <n v="59422"/>
    <n v="28.19"/>
    <n v="8.5"/>
    <n v="30.4"/>
    <n v="11.5"/>
    <n v="7.8"/>
    <x v="53"/>
    <n v="3.04"/>
    <n v="0.53"/>
    <n v="0.35"/>
    <n v="0.37"/>
    <n v="0.28000000000000003"/>
    <x v="2"/>
  </r>
  <r>
    <n v="6003"/>
    <x v="57"/>
    <n v="1111"/>
    <x v="57"/>
    <x v="51"/>
    <n v="5760.58"/>
    <n v="0"/>
    <n v="0"/>
    <n v="0"/>
    <n v="0"/>
    <n v="0"/>
    <n v="0"/>
    <n v="0"/>
    <n v="15.34"/>
    <n v="64542"/>
    <n v="29.08"/>
    <n v="8.8000000000000007"/>
    <n v="29.5"/>
    <n v="14.3"/>
    <n v="11"/>
    <x v="54"/>
    <n v="1.57"/>
    <n v="0.25"/>
    <n v="0.63"/>
    <n v="0.87"/>
    <n v="0.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CE8EC-8366-43D0-A992-1D0D9D391CE4}" name="PivotTable1" cacheId="9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7">
  <location ref="A3:F61" firstHeaderRow="0" firstDataRow="1" firstDataCol="1"/>
  <pivotFields count="27">
    <pivotField compact="0" outline="0" showAll="0"/>
    <pivotField axis="axisRow" compact="0" outline="0" showAll="0" sortType="descending">
      <items count="59">
        <item x="6"/>
        <item x="57"/>
        <item x="45"/>
        <item x="26"/>
        <item x="43"/>
        <item x="49"/>
        <item x="8"/>
        <item x="48"/>
        <item x="28"/>
        <item x="9"/>
        <item x="47"/>
        <item x="34"/>
        <item x="29"/>
        <item x="51"/>
        <item x="10"/>
        <item x="32"/>
        <item x="39"/>
        <item x="46"/>
        <item x="0"/>
        <item x="31"/>
        <item x="25"/>
        <item x="52"/>
        <item x="37"/>
        <item x="24"/>
        <item x="55"/>
        <item x="53"/>
        <item x="20"/>
        <item x="33"/>
        <item x="35"/>
        <item x="2"/>
        <item x="21"/>
        <item x="50"/>
        <item x="3"/>
        <item x="7"/>
        <item x="41"/>
        <item x="4"/>
        <item x="1"/>
        <item x="11"/>
        <item x="14"/>
        <item x="22"/>
        <item x="13"/>
        <item x="18"/>
        <item x="5"/>
        <item x="23"/>
        <item x="30"/>
        <item x="56"/>
        <item x="44"/>
        <item x="19"/>
        <item x="16"/>
        <item x="15"/>
        <item x="36"/>
        <item x="40"/>
        <item x="54"/>
        <item x="17"/>
        <item x="42"/>
        <item x="12"/>
        <item x="27"/>
        <item x="38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howAll="0"/>
    <pivotField dataField="1" compact="0" outline="0" showAll="0">
      <items count="59">
        <item x="56"/>
        <item x="57"/>
        <item x="54"/>
        <item x="52"/>
        <item x="55"/>
        <item x="50"/>
        <item x="51"/>
        <item x="48"/>
        <item x="53"/>
        <item x="43"/>
        <item x="44"/>
        <item x="49"/>
        <item x="47"/>
        <item x="34"/>
        <item x="39"/>
        <item x="45"/>
        <item x="37"/>
        <item x="35"/>
        <item x="42"/>
        <item x="40"/>
        <item x="41"/>
        <item x="38"/>
        <item x="46"/>
        <item x="28"/>
        <item x="33"/>
        <item x="36"/>
        <item x="26"/>
        <item x="30"/>
        <item x="27"/>
        <item x="23"/>
        <item x="25"/>
        <item x="22"/>
        <item x="31"/>
        <item x="21"/>
        <item x="32"/>
        <item x="18"/>
        <item x="16"/>
        <item x="19"/>
        <item x="24"/>
        <item x="29"/>
        <item x="11"/>
        <item x="13"/>
        <item x="20"/>
        <item x="17"/>
        <item x="15"/>
        <item x="12"/>
        <item x="8"/>
        <item x="14"/>
        <item x="6"/>
        <item x="9"/>
        <item x="7"/>
        <item x="10"/>
        <item x="5"/>
        <item x="1"/>
        <item x="2"/>
        <item x="3"/>
        <item x="4"/>
        <item x="0"/>
        <item t="default"/>
      </items>
    </pivotField>
    <pivotField dataField="1" compact="0" outline="0" showAll="0">
      <items count="53">
        <item x="51"/>
        <item x="48"/>
        <item x="46"/>
        <item x="50"/>
        <item x="47"/>
        <item x="44"/>
        <item x="42"/>
        <item x="45"/>
        <item x="37"/>
        <item x="49"/>
        <item x="41"/>
        <item x="28"/>
        <item x="38"/>
        <item x="43"/>
        <item x="36"/>
        <item x="33"/>
        <item x="40"/>
        <item x="39"/>
        <item x="34"/>
        <item x="35"/>
        <item x="30"/>
        <item x="22"/>
        <item x="23"/>
        <item x="26"/>
        <item x="19"/>
        <item x="32"/>
        <item x="27"/>
        <item x="31"/>
        <item x="21"/>
        <item x="25"/>
        <item x="18"/>
        <item x="11"/>
        <item x="16"/>
        <item x="20"/>
        <item x="13"/>
        <item x="24"/>
        <item x="12"/>
        <item x="8"/>
        <item x="17"/>
        <item x="29"/>
        <item x="10"/>
        <item x="15"/>
        <item x="9"/>
        <item x="14"/>
        <item x="6"/>
        <item x="5"/>
        <item x="7"/>
        <item x="4"/>
        <item x="1"/>
        <item x="2"/>
        <item x="3"/>
        <item x="0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>
      <items count="4">
        <item x="2"/>
        <item x="1"/>
        <item x="0"/>
        <item t="default"/>
      </items>
    </pivotField>
  </pivotFields>
  <rowFields count="1">
    <field x="1"/>
  </rowFields>
  <rowItems count="58">
    <i>
      <x v="12"/>
    </i>
    <i>
      <x v="49"/>
    </i>
    <i>
      <x v="13"/>
    </i>
    <i>
      <x v="18"/>
    </i>
    <i>
      <x v="23"/>
    </i>
    <i>
      <x v="53"/>
    </i>
    <i>
      <x v="38"/>
    </i>
    <i>
      <x v="32"/>
    </i>
    <i>
      <x v="19"/>
    </i>
    <i>
      <x v="15"/>
    </i>
    <i>
      <x v="35"/>
    </i>
    <i>
      <x v="9"/>
    </i>
    <i>
      <x v="2"/>
    </i>
    <i>
      <x v="29"/>
    </i>
    <i>
      <x v="14"/>
    </i>
    <i>
      <x v="51"/>
    </i>
    <i>
      <x v="33"/>
    </i>
    <i>
      <x v="50"/>
    </i>
    <i>
      <x v="20"/>
    </i>
    <i>
      <x v="56"/>
    </i>
    <i>
      <x v="28"/>
    </i>
    <i>
      <x v="10"/>
    </i>
    <i>
      <x v="34"/>
    </i>
    <i>
      <x v="4"/>
    </i>
    <i>
      <x v="36"/>
    </i>
    <i>
      <x v="26"/>
    </i>
    <i>
      <x v="44"/>
    </i>
    <i>
      <x v="3"/>
    </i>
    <i>
      <x/>
    </i>
    <i>
      <x v="54"/>
    </i>
    <i>
      <x v="48"/>
    </i>
    <i>
      <x v="5"/>
    </i>
    <i>
      <x v="42"/>
    </i>
    <i>
      <x v="41"/>
    </i>
    <i>
      <x v="16"/>
    </i>
    <i>
      <x v="30"/>
    </i>
    <i>
      <x v="52"/>
    </i>
    <i>
      <x v="55"/>
    </i>
    <i>
      <x v="43"/>
    </i>
    <i>
      <x v="22"/>
    </i>
    <i>
      <x v="40"/>
    </i>
    <i>
      <x v="6"/>
    </i>
    <i>
      <x v="17"/>
    </i>
    <i>
      <x v="39"/>
    </i>
    <i>
      <x v="25"/>
    </i>
    <i>
      <x v="46"/>
    </i>
    <i>
      <x v="57"/>
    </i>
    <i>
      <x v="21"/>
    </i>
    <i>
      <x v="47"/>
    </i>
    <i>
      <x v="37"/>
    </i>
    <i>
      <x v="27"/>
    </i>
    <i>
      <x v="11"/>
    </i>
    <i>
      <x v="8"/>
    </i>
    <i>
      <x v="24"/>
    </i>
    <i>
      <x v="7"/>
    </i>
    <i>
      <x v="31"/>
    </i>
    <i>
      <x v="45"/>
    </i>
    <i>
      <x v="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Population" fld="2" baseField="0" baseItem="0"/>
    <dataField name="Recorded Cases" fld="3" baseField="0" baseItem="0"/>
    <dataField name="Recorded Deaths" fld="4" baseField="0" baseItem="0"/>
    <dataField name="Cases per 100K " fld="5" subtotal="average" baseField="0" baseItem="0"/>
    <dataField name="Deaths per 100K " fld="6" baseField="0" baseItem="0"/>
  </dataFields>
  <chartFormats count="8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958B1-B0A5-4DB1-BEDD-9056F91F9BB3}" name="PivotTable1" cacheId="9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H61" firstHeaderRow="0" firstDataRow="1" firstDataCol="1"/>
  <pivotFields count="27">
    <pivotField compact="0" outline="0" showAll="0"/>
    <pivotField axis="axisRow" compact="0" outline="0" showAll="0" sortType="descending">
      <items count="59">
        <item x="6"/>
        <item x="57"/>
        <item x="45"/>
        <item x="26"/>
        <item x="43"/>
        <item x="49"/>
        <item x="8"/>
        <item x="48"/>
        <item x="28"/>
        <item x="9"/>
        <item x="47"/>
        <item x="34"/>
        <item x="29"/>
        <item x="51"/>
        <item x="10"/>
        <item x="32"/>
        <item x="39"/>
        <item x="46"/>
        <item x="0"/>
        <item x="31"/>
        <item x="25"/>
        <item x="52"/>
        <item x="37"/>
        <item x="24"/>
        <item x="55"/>
        <item x="53"/>
        <item x="20"/>
        <item x="33"/>
        <item x="35"/>
        <item x="2"/>
        <item x="21"/>
        <item x="50"/>
        <item x="3"/>
        <item x="7"/>
        <item x="41"/>
        <item x="4"/>
        <item x="1"/>
        <item x="11"/>
        <item x="14"/>
        <item x="22"/>
        <item x="13"/>
        <item x="18"/>
        <item x="5"/>
        <item x="23"/>
        <item x="30"/>
        <item x="56"/>
        <item x="44"/>
        <item x="19"/>
        <item x="16"/>
        <item x="15"/>
        <item x="36"/>
        <item x="40"/>
        <item x="54"/>
        <item x="17"/>
        <item x="42"/>
        <item x="12"/>
        <item x="27"/>
        <item x="38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dataField="1" compact="0" outline="0" showAll="0"/>
    <pivotField compact="0" outline="0" showAll="0">
      <items count="59">
        <item x="56"/>
        <item x="57"/>
        <item x="54"/>
        <item x="52"/>
        <item x="55"/>
        <item x="50"/>
        <item x="51"/>
        <item x="48"/>
        <item x="53"/>
        <item x="43"/>
        <item x="44"/>
        <item x="49"/>
        <item x="47"/>
        <item x="34"/>
        <item x="39"/>
        <item x="45"/>
        <item x="37"/>
        <item x="35"/>
        <item x="42"/>
        <item x="40"/>
        <item x="41"/>
        <item x="38"/>
        <item x="46"/>
        <item x="28"/>
        <item x="33"/>
        <item x="36"/>
        <item x="26"/>
        <item x="30"/>
        <item x="27"/>
        <item x="23"/>
        <item x="25"/>
        <item x="22"/>
        <item x="31"/>
        <item x="21"/>
        <item x="32"/>
        <item x="18"/>
        <item x="16"/>
        <item x="19"/>
        <item x="24"/>
        <item x="29"/>
        <item x="11"/>
        <item x="13"/>
        <item x="20"/>
        <item x="17"/>
        <item x="15"/>
        <item x="12"/>
        <item x="8"/>
        <item x="14"/>
        <item x="6"/>
        <item x="9"/>
        <item x="7"/>
        <item x="10"/>
        <item x="5"/>
        <item x="1"/>
        <item x="2"/>
        <item x="3"/>
        <item x="4"/>
        <item x="0"/>
        <item t="default"/>
      </items>
    </pivotField>
    <pivotField compact="0" outline="0" showAll="0">
      <items count="53">
        <item x="51"/>
        <item x="48"/>
        <item x="46"/>
        <item x="50"/>
        <item x="47"/>
        <item x="44"/>
        <item x="42"/>
        <item x="45"/>
        <item x="37"/>
        <item x="49"/>
        <item x="41"/>
        <item x="28"/>
        <item x="38"/>
        <item x="43"/>
        <item x="36"/>
        <item x="33"/>
        <item x="40"/>
        <item x="39"/>
        <item x="34"/>
        <item x="35"/>
        <item x="30"/>
        <item x="22"/>
        <item x="23"/>
        <item x="26"/>
        <item x="19"/>
        <item x="32"/>
        <item x="27"/>
        <item x="31"/>
        <item x="21"/>
        <item x="25"/>
        <item x="18"/>
        <item x="11"/>
        <item x="16"/>
        <item x="20"/>
        <item x="13"/>
        <item x="24"/>
        <item x="12"/>
        <item x="8"/>
        <item x="17"/>
        <item x="29"/>
        <item x="10"/>
        <item x="15"/>
        <item x="9"/>
        <item x="14"/>
        <item x="6"/>
        <item x="5"/>
        <item x="7"/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>
      <items count="4">
        <item x="2"/>
        <item x="1"/>
        <item x="0"/>
        <item t="default"/>
      </items>
    </pivotField>
  </pivotFields>
  <rowFields count="1">
    <field x="1"/>
  </rowFields>
  <rowItems count="58">
    <i>
      <x v="37"/>
    </i>
    <i>
      <x v="20"/>
    </i>
    <i>
      <x v="30"/>
    </i>
    <i>
      <x v="56"/>
    </i>
    <i>
      <x/>
    </i>
    <i>
      <x v="40"/>
    </i>
    <i>
      <x v="42"/>
    </i>
    <i>
      <x v="43"/>
    </i>
    <i>
      <x v="6"/>
    </i>
    <i>
      <x v="48"/>
    </i>
    <i>
      <x v="29"/>
    </i>
    <i>
      <x v="27"/>
    </i>
    <i>
      <x v="33"/>
    </i>
    <i>
      <x v="31"/>
    </i>
    <i>
      <x v="22"/>
    </i>
    <i>
      <x v="39"/>
    </i>
    <i>
      <x v="13"/>
    </i>
    <i>
      <x v="36"/>
    </i>
    <i>
      <x v="47"/>
    </i>
    <i>
      <x v="55"/>
    </i>
    <i>
      <x v="46"/>
    </i>
    <i>
      <x v="8"/>
    </i>
    <i>
      <x v="50"/>
    </i>
    <i>
      <x v="44"/>
    </i>
    <i>
      <x v="41"/>
    </i>
    <i>
      <x v="18"/>
    </i>
    <i>
      <x v="28"/>
    </i>
    <i>
      <x v="9"/>
    </i>
    <i>
      <x v="25"/>
    </i>
    <i>
      <x v="26"/>
    </i>
    <i>
      <x v="49"/>
    </i>
    <i>
      <x v="7"/>
    </i>
    <i>
      <x v="3"/>
    </i>
    <i>
      <x v="54"/>
    </i>
    <i>
      <x v="35"/>
    </i>
    <i>
      <x v="38"/>
    </i>
    <i>
      <x v="11"/>
    </i>
    <i>
      <x v="24"/>
    </i>
    <i>
      <x v="2"/>
    </i>
    <i>
      <x v="14"/>
    </i>
    <i>
      <x v="51"/>
    </i>
    <i>
      <x v="32"/>
    </i>
    <i>
      <x v="16"/>
    </i>
    <i>
      <x v="53"/>
    </i>
    <i>
      <x v="19"/>
    </i>
    <i>
      <x v="23"/>
    </i>
    <i>
      <x v="4"/>
    </i>
    <i>
      <x v="15"/>
    </i>
    <i>
      <x v="21"/>
    </i>
    <i>
      <x v="45"/>
    </i>
    <i>
      <x v="52"/>
    </i>
    <i>
      <x v="34"/>
    </i>
    <i>
      <x v="5"/>
    </i>
    <i>
      <x v="17"/>
    </i>
    <i>
      <x v="12"/>
    </i>
    <i>
      <x v="57"/>
    </i>
    <i>
      <x v="10"/>
    </i>
    <i>
      <x v="1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Total Population" fld="2" baseField="0" baseItem="0"/>
    <dataField name="Total ED* Hospitals" fld="7" baseField="0" baseItem="0"/>
    <dataField name="Total Urgent Cares " fld="8" baseField="0" baseItem="0"/>
    <dataField name="Urgent Care per 100K " fld="9" baseField="0" baseItem="0"/>
    <dataField name="Beds per 100K " fld="10" baseField="0" baseItem="0"/>
    <dataField name="ED* Hospitals per 100K" fld="12" baseField="0" baseItem="0"/>
    <dataField name="Primary Care Physicians per 100K " fld="11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59D5C-7C1B-447A-A523-D220BED6C71E}" name="PivotTable2" cacheId="9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H61" firstHeaderRow="0" firstDataRow="1" firstDataCol="1"/>
  <pivotFields count="27">
    <pivotField compact="0" outline="0" showAll="0"/>
    <pivotField axis="axisRow" compact="0" outline="0" showAll="0" sortType="descending">
      <items count="59">
        <item x="6"/>
        <item x="57"/>
        <item x="45"/>
        <item x="26"/>
        <item x="43"/>
        <item x="49"/>
        <item x="8"/>
        <item x="48"/>
        <item x="28"/>
        <item x="9"/>
        <item x="47"/>
        <item x="34"/>
        <item x="29"/>
        <item x="51"/>
        <item x="10"/>
        <item x="32"/>
        <item x="39"/>
        <item x="46"/>
        <item x="0"/>
        <item x="31"/>
        <item x="25"/>
        <item x="52"/>
        <item x="37"/>
        <item x="24"/>
        <item x="55"/>
        <item x="53"/>
        <item x="20"/>
        <item x="33"/>
        <item x="35"/>
        <item x="2"/>
        <item x="21"/>
        <item x="50"/>
        <item x="3"/>
        <item x="7"/>
        <item x="41"/>
        <item x="4"/>
        <item x="1"/>
        <item x="11"/>
        <item x="14"/>
        <item x="22"/>
        <item x="13"/>
        <item x="18"/>
        <item x="5"/>
        <item x="23"/>
        <item x="30"/>
        <item x="56"/>
        <item x="44"/>
        <item x="19"/>
        <item x="16"/>
        <item x="15"/>
        <item x="36"/>
        <item x="40"/>
        <item x="54"/>
        <item x="17"/>
        <item x="42"/>
        <item x="12"/>
        <item x="27"/>
        <item x="38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compact="0" outline="0" showAll="0"/>
    <pivotField compact="0" outline="0" showAll="0">
      <items count="59">
        <item x="56"/>
        <item x="57"/>
        <item x="54"/>
        <item x="52"/>
        <item x="55"/>
        <item x="50"/>
        <item x="51"/>
        <item x="48"/>
        <item x="53"/>
        <item x="43"/>
        <item x="44"/>
        <item x="49"/>
        <item x="47"/>
        <item x="34"/>
        <item x="39"/>
        <item x="45"/>
        <item x="37"/>
        <item x="35"/>
        <item x="42"/>
        <item x="40"/>
        <item x="41"/>
        <item x="38"/>
        <item x="46"/>
        <item x="28"/>
        <item x="33"/>
        <item x="36"/>
        <item x="26"/>
        <item x="30"/>
        <item x="27"/>
        <item x="23"/>
        <item x="25"/>
        <item x="22"/>
        <item x="31"/>
        <item x="21"/>
        <item x="32"/>
        <item x="18"/>
        <item x="16"/>
        <item x="19"/>
        <item x="24"/>
        <item x="29"/>
        <item x="11"/>
        <item x="13"/>
        <item x="20"/>
        <item x="17"/>
        <item x="15"/>
        <item x="12"/>
        <item x="8"/>
        <item x="14"/>
        <item x="6"/>
        <item x="9"/>
        <item x="7"/>
        <item x="10"/>
        <item x="5"/>
        <item x="1"/>
        <item x="2"/>
        <item x="3"/>
        <item x="4"/>
        <item x="0"/>
        <item t="default"/>
      </items>
    </pivotField>
    <pivotField compact="0" outline="0" showAll="0">
      <items count="53">
        <item x="51"/>
        <item x="48"/>
        <item x="46"/>
        <item x="50"/>
        <item x="47"/>
        <item x="44"/>
        <item x="42"/>
        <item x="45"/>
        <item x="37"/>
        <item x="49"/>
        <item x="41"/>
        <item x="28"/>
        <item x="38"/>
        <item x="43"/>
        <item x="36"/>
        <item x="33"/>
        <item x="40"/>
        <item x="39"/>
        <item x="34"/>
        <item x="35"/>
        <item x="30"/>
        <item x="22"/>
        <item x="23"/>
        <item x="26"/>
        <item x="19"/>
        <item x="32"/>
        <item x="27"/>
        <item x="31"/>
        <item x="21"/>
        <item x="25"/>
        <item x="18"/>
        <item x="11"/>
        <item x="16"/>
        <item x="20"/>
        <item x="13"/>
        <item x="24"/>
        <item x="12"/>
        <item x="8"/>
        <item x="17"/>
        <item x="29"/>
        <item x="10"/>
        <item x="15"/>
        <item x="9"/>
        <item x="14"/>
        <item x="6"/>
        <item x="5"/>
        <item x="7"/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>
      <items count="4">
        <item x="2"/>
        <item x="1"/>
        <item x="0"/>
        <item t="default"/>
      </items>
    </pivotField>
  </pivotFields>
  <rowFields count="1">
    <field x="1"/>
  </rowFields>
  <rowItems count="58">
    <i>
      <x v="52"/>
    </i>
    <i>
      <x v="24"/>
    </i>
    <i>
      <x v="1"/>
    </i>
    <i>
      <x v="21"/>
    </i>
    <i>
      <x v="45"/>
    </i>
    <i>
      <x v="4"/>
    </i>
    <i>
      <x v="31"/>
    </i>
    <i>
      <x v="46"/>
    </i>
    <i>
      <x v="2"/>
    </i>
    <i>
      <x v="16"/>
    </i>
    <i>
      <x v="54"/>
    </i>
    <i>
      <x v="28"/>
    </i>
    <i>
      <x v="22"/>
    </i>
    <i>
      <x v="13"/>
    </i>
    <i>
      <x v="51"/>
    </i>
    <i>
      <x v="7"/>
    </i>
    <i>
      <x v="44"/>
    </i>
    <i>
      <x v="12"/>
    </i>
    <i>
      <x v="10"/>
    </i>
    <i>
      <x v="3"/>
    </i>
    <i>
      <x v="11"/>
    </i>
    <i>
      <x v="19"/>
    </i>
    <i>
      <x v="5"/>
    </i>
    <i>
      <x v="23"/>
    </i>
    <i>
      <x v="39"/>
    </i>
    <i>
      <x v="8"/>
    </i>
    <i>
      <x v="53"/>
    </i>
    <i>
      <x v="35"/>
    </i>
    <i>
      <x v="9"/>
    </i>
    <i>
      <x v="32"/>
    </i>
    <i>
      <x v="14"/>
    </i>
    <i>
      <x v="27"/>
    </i>
    <i>
      <x v="50"/>
    </i>
    <i>
      <x v="41"/>
    </i>
    <i>
      <x v="26"/>
    </i>
    <i>
      <x v="20"/>
    </i>
    <i>
      <x v="48"/>
    </i>
    <i>
      <x v="57"/>
    </i>
    <i>
      <x v="17"/>
    </i>
    <i>
      <x v="30"/>
    </i>
    <i>
      <x v="49"/>
    </i>
    <i>
      <x v="47"/>
    </i>
    <i>
      <x v="15"/>
    </i>
    <i>
      <x v="43"/>
    </i>
    <i>
      <x v="25"/>
    </i>
    <i>
      <x v="18"/>
    </i>
    <i>
      <x v="55"/>
    </i>
    <i>
      <x v="33"/>
    </i>
    <i>
      <x v="38"/>
    </i>
    <i>
      <x v="56"/>
    </i>
    <i>
      <x v="34"/>
    </i>
    <i>
      <x v="6"/>
    </i>
    <i>
      <x v="36"/>
    </i>
    <i>
      <x v="29"/>
    </i>
    <i>
      <x v="37"/>
    </i>
    <i>
      <x/>
    </i>
    <i>
      <x v="40"/>
    </i>
    <i>
      <x v="42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Median HH Income " fld="14" baseField="0" baseItem="0"/>
    <dataField name="Percent Elderly " fld="15" baseField="0" baseItem="0"/>
    <dataField name="Percent Diabetes " fld="16" baseField="0" baseItem="0"/>
    <dataField name="Percent Obesity " fld="17" baseField="0" baseItem="0"/>
    <dataField name="Percent Poverty " fld="18" baseField="0" baseItem="0"/>
    <dataField name="Sum of Percent Uninsured" fld="19" baseField="0" baseItem="0"/>
    <dataField name="Risk Score " fld="20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E383-71F8-46C8-85F0-B23A616FDE42}" name="PivotTable1" cacheId="9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G61" firstHeaderRow="0" firstDataRow="1" firstDataCol="1"/>
  <pivotFields count="27">
    <pivotField compact="0" outline="0" showAll="0"/>
    <pivotField axis="axisRow" compact="0" outline="0" showAll="0" sortType="descending">
      <items count="59">
        <item x="6"/>
        <item x="57"/>
        <item x="45"/>
        <item x="26"/>
        <item x="43"/>
        <item x="49"/>
        <item x="8"/>
        <item x="48"/>
        <item x="28"/>
        <item x="9"/>
        <item x="47"/>
        <item x="34"/>
        <item x="29"/>
        <item x="51"/>
        <item x="10"/>
        <item x="32"/>
        <item x="39"/>
        <item x="46"/>
        <item x="0"/>
        <item x="31"/>
        <item x="25"/>
        <item x="52"/>
        <item x="37"/>
        <item x="24"/>
        <item x="55"/>
        <item x="53"/>
        <item x="20"/>
        <item x="33"/>
        <item x="35"/>
        <item x="2"/>
        <item x="21"/>
        <item x="50"/>
        <item x="3"/>
        <item x="7"/>
        <item x="41"/>
        <item x="4"/>
        <item x="1"/>
        <item x="11"/>
        <item x="14"/>
        <item x="22"/>
        <item x="13"/>
        <item x="18"/>
        <item x="5"/>
        <item x="23"/>
        <item x="30"/>
        <item x="56"/>
        <item x="44"/>
        <item x="19"/>
        <item x="16"/>
        <item x="15"/>
        <item x="36"/>
        <item x="40"/>
        <item x="54"/>
        <item x="17"/>
        <item x="42"/>
        <item x="12"/>
        <item x="27"/>
        <item x="38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dataField="1" compact="0" outline="0" showAll="0"/>
    <pivotField compact="0" outline="0" showAll="0">
      <items count="59">
        <item x="56"/>
        <item x="57"/>
        <item x="54"/>
        <item x="52"/>
        <item x="55"/>
        <item x="50"/>
        <item x="51"/>
        <item x="48"/>
        <item x="53"/>
        <item x="43"/>
        <item x="44"/>
        <item x="49"/>
        <item x="47"/>
        <item x="34"/>
        <item x="39"/>
        <item x="45"/>
        <item x="37"/>
        <item x="35"/>
        <item x="42"/>
        <item x="40"/>
        <item x="41"/>
        <item x="38"/>
        <item x="46"/>
        <item x="28"/>
        <item x="33"/>
        <item x="36"/>
        <item x="26"/>
        <item x="30"/>
        <item x="27"/>
        <item x="23"/>
        <item x="25"/>
        <item x="22"/>
        <item x="31"/>
        <item x="21"/>
        <item x="32"/>
        <item x="18"/>
        <item x="16"/>
        <item x="19"/>
        <item x="24"/>
        <item x="29"/>
        <item x="11"/>
        <item x="13"/>
        <item x="20"/>
        <item x="17"/>
        <item x="15"/>
        <item x="12"/>
        <item x="8"/>
        <item x="14"/>
        <item x="6"/>
        <item x="9"/>
        <item x="7"/>
        <item x="10"/>
        <item x="5"/>
        <item x="1"/>
        <item x="2"/>
        <item x="3"/>
        <item x="4"/>
        <item x="0"/>
        <item t="default"/>
      </items>
    </pivotField>
    <pivotField compact="0" outline="0" showAll="0">
      <items count="53">
        <item x="51"/>
        <item x="48"/>
        <item x="46"/>
        <item x="50"/>
        <item x="47"/>
        <item x="44"/>
        <item x="42"/>
        <item x="45"/>
        <item x="37"/>
        <item x="49"/>
        <item x="41"/>
        <item x="28"/>
        <item x="38"/>
        <item x="43"/>
        <item x="36"/>
        <item x="33"/>
        <item x="40"/>
        <item x="39"/>
        <item x="34"/>
        <item x="35"/>
        <item x="30"/>
        <item x="22"/>
        <item x="23"/>
        <item x="26"/>
        <item x="19"/>
        <item x="32"/>
        <item x="27"/>
        <item x="31"/>
        <item x="21"/>
        <item x="25"/>
        <item x="18"/>
        <item x="11"/>
        <item x="16"/>
        <item x="20"/>
        <item x="13"/>
        <item x="24"/>
        <item x="12"/>
        <item x="8"/>
        <item x="17"/>
        <item x="29"/>
        <item x="10"/>
        <item x="15"/>
        <item x="9"/>
        <item x="14"/>
        <item x="6"/>
        <item x="5"/>
        <item x="7"/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multipleItemSelectionAllowed="1" showAll="0">
      <items count="4">
        <item x="2"/>
        <item x="1"/>
        <item x="0"/>
        <item t="default"/>
      </items>
    </pivotField>
  </pivotFields>
  <rowFields count="1">
    <field x="1"/>
  </rowFields>
  <rowItems count="58">
    <i>
      <x v="12"/>
    </i>
    <i>
      <x v="14"/>
    </i>
    <i>
      <x v="23"/>
    </i>
    <i>
      <x v="9"/>
    </i>
    <i>
      <x v="22"/>
    </i>
    <i>
      <x v="15"/>
    </i>
    <i>
      <x v="7"/>
    </i>
    <i>
      <x v="51"/>
    </i>
    <i>
      <x v="53"/>
    </i>
    <i>
      <x v="19"/>
    </i>
    <i>
      <x v="35"/>
    </i>
    <i>
      <x v="57"/>
    </i>
    <i>
      <x v="16"/>
    </i>
    <i>
      <x v="10"/>
    </i>
    <i>
      <x v="38"/>
    </i>
    <i>
      <x v="18"/>
    </i>
    <i>
      <x v="52"/>
    </i>
    <i>
      <x v="50"/>
    </i>
    <i>
      <x v="49"/>
    </i>
    <i>
      <x v="26"/>
    </i>
    <i>
      <x v="41"/>
    </i>
    <i>
      <x v="3"/>
    </i>
    <i>
      <x v="32"/>
    </i>
    <i>
      <x v="11"/>
    </i>
    <i>
      <x v="21"/>
    </i>
    <i>
      <x v="33"/>
    </i>
    <i>
      <x v="24"/>
    </i>
    <i>
      <x v="5"/>
    </i>
    <i>
      <x v="46"/>
    </i>
    <i>
      <x v="44"/>
    </i>
    <i>
      <x v="56"/>
    </i>
    <i>
      <x v="36"/>
    </i>
    <i>
      <x v="17"/>
    </i>
    <i>
      <x v="47"/>
    </i>
    <i>
      <x v="27"/>
    </i>
    <i>
      <x v="55"/>
    </i>
    <i>
      <x v="43"/>
    </i>
    <i>
      <x v="54"/>
    </i>
    <i>
      <x v="2"/>
    </i>
    <i>
      <x v="34"/>
    </i>
    <i>
      <x v="29"/>
    </i>
    <i>
      <x v="13"/>
    </i>
    <i>
      <x/>
    </i>
    <i>
      <x v="48"/>
    </i>
    <i>
      <x v="1"/>
    </i>
    <i>
      <x v="6"/>
    </i>
    <i>
      <x v="39"/>
    </i>
    <i>
      <x v="37"/>
    </i>
    <i>
      <x v="25"/>
    </i>
    <i>
      <x v="31"/>
    </i>
    <i>
      <x v="42"/>
    </i>
    <i>
      <x v="20"/>
    </i>
    <i>
      <x v="4"/>
    </i>
    <i>
      <x v="45"/>
    </i>
    <i>
      <x v="40"/>
    </i>
    <i>
      <x v="8"/>
    </i>
    <i>
      <x v="28"/>
    </i>
    <i>
      <x v="30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Population" fld="2" baseField="0" baseItem="0"/>
    <dataField name="Population Density (p/sq mi)" fld="21" baseField="0" baseItem="0"/>
    <dataField name="SVI Socioeconomic " fld="22" baseField="0" baseItem="0"/>
    <dataField name="SVI Household " fld="23" baseField="0" baseItem="0"/>
    <dataField name="SVI Minority " fld="24" baseField="0" baseItem="0"/>
    <dataField name="SVI Overall " fld="25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A123F-69F7-4452-8448-70838B821AFE}" name="PivotTable3" cacheId="9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2">
  <location ref="A3:B13" firstHeaderRow="1" firstDataRow="1" firstDataCol="1"/>
  <pivotFields count="27">
    <pivotField compact="0" outline="0" showAll="0"/>
    <pivotField axis="axisRow" compact="0" outline="0" showAll="0" measureFilter="1" sortType="ascending">
      <items count="59">
        <item x="38"/>
        <item x="27"/>
        <item x="12"/>
        <item x="42"/>
        <item x="17"/>
        <item x="54"/>
        <item x="40"/>
        <item x="36"/>
        <item x="15"/>
        <item x="16"/>
        <item x="19"/>
        <item x="44"/>
        <item x="56"/>
        <item x="30"/>
        <item x="23"/>
        <item x="5"/>
        <item x="18"/>
        <item x="13"/>
        <item x="22"/>
        <item x="14"/>
        <item x="11"/>
        <item x="1"/>
        <item x="4"/>
        <item x="41"/>
        <item x="7"/>
        <item x="3"/>
        <item x="50"/>
        <item x="21"/>
        <item x="2"/>
        <item x="35"/>
        <item x="33"/>
        <item x="20"/>
        <item x="53"/>
        <item x="55"/>
        <item x="24"/>
        <item x="37"/>
        <item x="52"/>
        <item x="25"/>
        <item x="31"/>
        <item x="0"/>
        <item x="46"/>
        <item x="39"/>
        <item x="32"/>
        <item x="10"/>
        <item x="51"/>
        <item x="29"/>
        <item x="34"/>
        <item x="47"/>
        <item x="9"/>
        <item x="28"/>
        <item x="48"/>
        <item x="8"/>
        <item x="49"/>
        <item x="43"/>
        <item x="26"/>
        <item x="45"/>
        <item x="5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>
      <items count="59">
        <item x="56"/>
        <item x="57"/>
        <item x="54"/>
        <item x="52"/>
        <item x="55"/>
        <item x="50"/>
        <item x="51"/>
        <item x="48"/>
        <item x="53"/>
        <item x="43"/>
        <item x="44"/>
        <item x="49"/>
        <item x="47"/>
        <item x="34"/>
        <item x="39"/>
        <item x="45"/>
        <item x="37"/>
        <item x="35"/>
        <item x="42"/>
        <item x="40"/>
        <item x="41"/>
        <item x="38"/>
        <item x="46"/>
        <item x="28"/>
        <item x="33"/>
        <item x="36"/>
        <item x="26"/>
        <item x="30"/>
        <item x="27"/>
        <item x="23"/>
        <item x="25"/>
        <item x="22"/>
        <item x="31"/>
        <item x="21"/>
        <item x="32"/>
        <item x="18"/>
        <item x="16"/>
        <item x="19"/>
        <item x="24"/>
        <item x="29"/>
        <item x="11"/>
        <item x="13"/>
        <item x="20"/>
        <item x="17"/>
        <item x="15"/>
        <item x="12"/>
        <item x="8"/>
        <item x="14"/>
        <item x="6"/>
        <item x="9"/>
        <item x="7"/>
        <item x="10"/>
        <item x="5"/>
        <item x="1"/>
        <item x="2"/>
        <item x="3"/>
        <item x="4"/>
        <item x="0"/>
        <item t="default"/>
      </items>
    </pivotField>
    <pivotField compact="0" outline="0" showAll="0">
      <items count="53">
        <item x="51"/>
        <item x="48"/>
        <item x="46"/>
        <item x="50"/>
        <item x="47"/>
        <item x="44"/>
        <item x="42"/>
        <item x="45"/>
        <item x="37"/>
        <item x="49"/>
        <item x="41"/>
        <item x="28"/>
        <item x="38"/>
        <item x="43"/>
        <item x="36"/>
        <item x="33"/>
        <item x="40"/>
        <item x="39"/>
        <item x="34"/>
        <item x="35"/>
        <item x="30"/>
        <item x="22"/>
        <item x="23"/>
        <item x="26"/>
        <item x="19"/>
        <item x="32"/>
        <item x="27"/>
        <item x="31"/>
        <item x="21"/>
        <item x="25"/>
        <item x="18"/>
        <item x="11"/>
        <item x="16"/>
        <item x="20"/>
        <item x="13"/>
        <item x="24"/>
        <item x="12"/>
        <item x="8"/>
        <item x="17"/>
        <item x="29"/>
        <item x="10"/>
        <item x="15"/>
        <item x="9"/>
        <item x="14"/>
        <item x="6"/>
        <item x="5"/>
        <item x="7"/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>
      <items count="4">
        <item x="2"/>
        <item x="1"/>
        <item x="0"/>
        <item t="default"/>
      </items>
    </pivotField>
  </pivotFields>
  <rowFields count="1">
    <field x="1"/>
  </rowFields>
  <rowItems count="10">
    <i>
      <x v="57"/>
    </i>
    <i>
      <x v="48"/>
    </i>
    <i>
      <x v="24"/>
    </i>
    <i>
      <x v="43"/>
    </i>
    <i>
      <x v="15"/>
    </i>
    <i>
      <x v="21"/>
    </i>
    <i>
      <x v="28"/>
    </i>
    <i>
      <x v="25"/>
    </i>
    <i>
      <x v="22"/>
    </i>
    <i>
      <x v="39"/>
    </i>
  </rowItems>
  <colItems count="1">
    <i/>
  </colItems>
  <dataFields count="1">
    <dataField name="Recorded Cases" fld="3" baseField="0" baseItem="0"/>
  </dataFields>
  <chartFormats count="7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9E0FE-D14C-49C3-9D8E-A40871F423F9}" name="PivotTable11" cacheId="9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98:C156" firstHeaderRow="0" firstDataRow="1" firstDataCol="1"/>
  <pivotFields count="27">
    <pivotField compact="0" outline="0" showAll="0"/>
    <pivotField axis="axisRow" compact="0" outline="0" showAll="0" sortType="descending">
      <items count="59">
        <item x="6"/>
        <item x="57"/>
        <item x="45"/>
        <item x="26"/>
        <item x="43"/>
        <item x="49"/>
        <item x="8"/>
        <item x="48"/>
        <item x="28"/>
        <item x="9"/>
        <item x="47"/>
        <item x="34"/>
        <item x="29"/>
        <item x="51"/>
        <item x="10"/>
        <item x="32"/>
        <item x="39"/>
        <item x="46"/>
        <item x="0"/>
        <item x="31"/>
        <item x="25"/>
        <item x="52"/>
        <item x="37"/>
        <item x="24"/>
        <item x="55"/>
        <item x="53"/>
        <item x="20"/>
        <item x="33"/>
        <item x="35"/>
        <item x="2"/>
        <item x="21"/>
        <item x="50"/>
        <item x="3"/>
        <item x="7"/>
        <item x="41"/>
        <item x="4"/>
        <item x="1"/>
        <item x="11"/>
        <item x="14"/>
        <item x="22"/>
        <item x="13"/>
        <item x="18"/>
        <item x="5"/>
        <item x="23"/>
        <item x="30"/>
        <item x="56"/>
        <item x="44"/>
        <item x="19"/>
        <item x="16"/>
        <item x="15"/>
        <item x="36"/>
        <item x="40"/>
        <item x="54"/>
        <item x="17"/>
        <item x="42"/>
        <item x="12"/>
        <item x="27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59">
        <item x="56"/>
        <item x="57"/>
        <item x="54"/>
        <item x="52"/>
        <item x="55"/>
        <item x="50"/>
        <item x="51"/>
        <item x="48"/>
        <item x="53"/>
        <item x="43"/>
        <item x="44"/>
        <item x="49"/>
        <item x="47"/>
        <item x="34"/>
        <item x="39"/>
        <item x="45"/>
        <item x="37"/>
        <item x="35"/>
        <item x="42"/>
        <item x="40"/>
        <item x="41"/>
        <item x="38"/>
        <item x="46"/>
        <item x="28"/>
        <item x="33"/>
        <item x="36"/>
        <item x="26"/>
        <item x="30"/>
        <item x="27"/>
        <item x="23"/>
        <item x="25"/>
        <item x="22"/>
        <item x="31"/>
        <item x="21"/>
        <item x="32"/>
        <item x="18"/>
        <item x="16"/>
        <item x="19"/>
        <item x="24"/>
        <item x="29"/>
        <item x="11"/>
        <item x="13"/>
        <item x="20"/>
        <item x="17"/>
        <item x="15"/>
        <item x="12"/>
        <item x="8"/>
        <item x="14"/>
        <item x="6"/>
        <item x="9"/>
        <item x="7"/>
        <item x="10"/>
        <item x="5"/>
        <item x="1"/>
        <item x="2"/>
        <item x="3"/>
        <item x="4"/>
        <item x="0"/>
        <item t="default"/>
      </items>
    </pivotField>
    <pivotField compact="0" outline="0" showAll="0">
      <items count="53">
        <item x="51"/>
        <item x="48"/>
        <item x="46"/>
        <item x="50"/>
        <item x="47"/>
        <item x="44"/>
        <item x="42"/>
        <item x="45"/>
        <item x="37"/>
        <item x="49"/>
        <item x="41"/>
        <item x="28"/>
        <item x="38"/>
        <item x="43"/>
        <item x="36"/>
        <item x="33"/>
        <item x="40"/>
        <item x="39"/>
        <item x="34"/>
        <item x="35"/>
        <item x="30"/>
        <item x="22"/>
        <item x="23"/>
        <item x="26"/>
        <item x="19"/>
        <item x="32"/>
        <item x="27"/>
        <item x="31"/>
        <item x="21"/>
        <item x="25"/>
        <item x="18"/>
        <item x="11"/>
        <item x="16"/>
        <item x="20"/>
        <item x="13"/>
        <item x="24"/>
        <item x="12"/>
        <item x="8"/>
        <item x="17"/>
        <item x="29"/>
        <item x="10"/>
        <item x="15"/>
        <item x="9"/>
        <item x="14"/>
        <item x="6"/>
        <item x="5"/>
        <item x="7"/>
        <item x="4"/>
        <item x="1"/>
        <item x="2"/>
        <item x="3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multipleItemSelectionAllowed="1" showAll="0">
      <items count="4">
        <item x="2"/>
        <item x="1"/>
        <item x="0"/>
        <item t="default"/>
      </items>
    </pivotField>
  </pivotFields>
  <rowFields count="1">
    <field x="1"/>
  </rowFields>
  <rowItems count="58">
    <i>
      <x v="12"/>
    </i>
    <i>
      <x v="14"/>
    </i>
    <i>
      <x v="23"/>
    </i>
    <i>
      <x v="9"/>
    </i>
    <i>
      <x v="22"/>
    </i>
    <i>
      <x v="15"/>
    </i>
    <i>
      <x v="7"/>
    </i>
    <i>
      <x v="51"/>
    </i>
    <i>
      <x v="53"/>
    </i>
    <i>
      <x v="19"/>
    </i>
    <i>
      <x v="35"/>
    </i>
    <i>
      <x v="57"/>
    </i>
    <i>
      <x v="16"/>
    </i>
    <i>
      <x v="10"/>
    </i>
    <i>
      <x v="38"/>
    </i>
    <i>
      <x v="18"/>
    </i>
    <i>
      <x v="52"/>
    </i>
    <i>
      <x v="50"/>
    </i>
    <i>
      <x v="49"/>
    </i>
    <i>
      <x v="26"/>
    </i>
    <i>
      <x v="41"/>
    </i>
    <i>
      <x v="3"/>
    </i>
    <i>
      <x v="32"/>
    </i>
    <i>
      <x v="11"/>
    </i>
    <i>
      <x v="21"/>
    </i>
    <i>
      <x v="33"/>
    </i>
    <i>
      <x v="24"/>
    </i>
    <i>
      <x v="5"/>
    </i>
    <i>
      <x v="46"/>
    </i>
    <i>
      <x v="44"/>
    </i>
    <i>
      <x v="56"/>
    </i>
    <i>
      <x v="36"/>
    </i>
    <i>
      <x v="17"/>
    </i>
    <i>
      <x v="47"/>
    </i>
    <i>
      <x v="27"/>
    </i>
    <i>
      <x v="55"/>
    </i>
    <i>
      <x v="43"/>
    </i>
    <i>
      <x v="54"/>
    </i>
    <i>
      <x v="2"/>
    </i>
    <i>
      <x v="34"/>
    </i>
    <i>
      <x v="29"/>
    </i>
    <i>
      <x v="13"/>
    </i>
    <i>
      <x/>
    </i>
    <i>
      <x v="48"/>
    </i>
    <i>
      <x v="1"/>
    </i>
    <i>
      <x v="6"/>
    </i>
    <i>
      <x v="39"/>
    </i>
    <i>
      <x v="37"/>
    </i>
    <i>
      <x v="25"/>
    </i>
    <i>
      <x v="31"/>
    </i>
    <i>
      <x v="42"/>
    </i>
    <i>
      <x v="20"/>
    </i>
    <i>
      <x v="4"/>
    </i>
    <i>
      <x v="45"/>
    </i>
    <i>
      <x v="40"/>
    </i>
    <i>
      <x v="8"/>
    </i>
    <i>
      <x v="28"/>
    </i>
    <i>
      <x v="30"/>
    </i>
  </rowItems>
  <colFields count="1">
    <field x="-2"/>
  </colFields>
  <colItems count="2">
    <i>
      <x/>
    </i>
    <i i="1">
      <x v="1"/>
    </i>
  </colItems>
  <dataFields count="2">
    <dataField name="SVI Overall " fld="25" baseField="0" baseItem="0"/>
    <dataField name="Sum of Cases per 100K" fld="5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DD9BA-AA29-4E9B-8D75-2C68C54DEC73}" name="PivotTable10" cacheId="9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82:C92" firstHeaderRow="0" firstDataRow="1" firstDataCol="1"/>
  <pivotFields count="27">
    <pivotField compact="0" outline="0" showAll="0"/>
    <pivotField axis="axisRow" compact="0" outline="0" showAll="0" measureFilter="1" sortType="ascending">
      <items count="59">
        <item x="6"/>
        <item x="57"/>
        <item x="45"/>
        <item x="26"/>
        <item x="43"/>
        <item x="49"/>
        <item x="8"/>
        <item x="48"/>
        <item x="28"/>
        <item x="9"/>
        <item x="47"/>
        <item x="34"/>
        <item x="29"/>
        <item x="51"/>
        <item x="10"/>
        <item x="32"/>
        <item x="39"/>
        <item x="46"/>
        <item x="0"/>
        <item x="31"/>
        <item x="25"/>
        <item x="52"/>
        <item x="37"/>
        <item x="24"/>
        <item x="55"/>
        <item x="53"/>
        <item x="20"/>
        <item x="33"/>
        <item x="35"/>
        <item x="2"/>
        <item x="21"/>
        <item x="50"/>
        <item x="3"/>
        <item x="7"/>
        <item x="41"/>
        <item x="4"/>
        <item x="1"/>
        <item x="11"/>
        <item x="14"/>
        <item x="22"/>
        <item x="13"/>
        <item x="18"/>
        <item x="5"/>
        <item x="23"/>
        <item x="30"/>
        <item x="56"/>
        <item x="44"/>
        <item x="19"/>
        <item x="16"/>
        <item x="15"/>
        <item x="36"/>
        <item x="40"/>
        <item x="54"/>
        <item x="17"/>
        <item x="42"/>
        <item x="12"/>
        <item x="27"/>
        <item x="3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>
      <items count="59">
        <item x="56"/>
        <item x="57"/>
        <item x="54"/>
        <item x="52"/>
        <item x="55"/>
        <item x="50"/>
        <item x="51"/>
        <item x="48"/>
        <item x="53"/>
        <item x="43"/>
        <item x="44"/>
        <item x="49"/>
        <item x="47"/>
        <item x="34"/>
        <item x="39"/>
        <item x="45"/>
        <item x="37"/>
        <item x="35"/>
        <item x="42"/>
        <item x="40"/>
        <item x="41"/>
        <item x="38"/>
        <item x="46"/>
        <item x="28"/>
        <item x="33"/>
        <item x="36"/>
        <item x="26"/>
        <item x="30"/>
        <item x="27"/>
        <item x="23"/>
        <item x="25"/>
        <item x="22"/>
        <item x="31"/>
        <item x="21"/>
        <item x="32"/>
        <item x="18"/>
        <item x="16"/>
        <item x="19"/>
        <item x="24"/>
        <item x="29"/>
        <item x="11"/>
        <item x="13"/>
        <item x="20"/>
        <item x="17"/>
        <item x="15"/>
        <item x="12"/>
        <item x="8"/>
        <item x="14"/>
        <item x="6"/>
        <item x="9"/>
        <item x="7"/>
        <item x="10"/>
        <item x="5"/>
        <item x="1"/>
        <item x="2"/>
        <item x="3"/>
        <item x="4"/>
        <item x="0"/>
        <item t="default"/>
      </items>
    </pivotField>
    <pivotField compact="0" outline="0" showAll="0">
      <items count="53">
        <item x="51"/>
        <item x="48"/>
        <item x="46"/>
        <item x="50"/>
        <item x="47"/>
        <item x="44"/>
        <item x="42"/>
        <item x="45"/>
        <item x="37"/>
        <item x="49"/>
        <item x="41"/>
        <item x="28"/>
        <item x="38"/>
        <item x="43"/>
        <item x="36"/>
        <item x="33"/>
        <item x="40"/>
        <item x="39"/>
        <item x="34"/>
        <item x="35"/>
        <item x="30"/>
        <item x="22"/>
        <item x="23"/>
        <item x="26"/>
        <item x="19"/>
        <item x="32"/>
        <item x="27"/>
        <item x="31"/>
        <item x="21"/>
        <item x="25"/>
        <item x="18"/>
        <item x="11"/>
        <item x="16"/>
        <item x="20"/>
        <item x="13"/>
        <item x="24"/>
        <item x="12"/>
        <item x="8"/>
        <item x="17"/>
        <item x="29"/>
        <item x="10"/>
        <item x="15"/>
        <item x="9"/>
        <item x="14"/>
        <item x="6"/>
        <item x="5"/>
        <item x="7"/>
        <item x="4"/>
        <item x="1"/>
        <item x="2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>
      <items count="4">
        <item x="2"/>
        <item x="1"/>
        <item x="0"/>
        <item t="default"/>
      </items>
    </pivotField>
  </pivotFields>
  <rowFields count="1">
    <field x="1"/>
  </rowFields>
  <rowItems count="10">
    <i>
      <x v="48"/>
    </i>
    <i>
      <x v="6"/>
    </i>
    <i>
      <x v="43"/>
    </i>
    <i>
      <x v="40"/>
    </i>
    <i>
      <x v="42"/>
    </i>
    <i>
      <x/>
    </i>
    <i>
      <x v="56"/>
    </i>
    <i>
      <x v="30"/>
    </i>
    <i>
      <x v="20"/>
    </i>
    <i>
      <x v="37"/>
    </i>
  </rowItems>
  <colFields count="1">
    <field x="-2"/>
  </colFields>
  <colItems count="2">
    <i>
      <x/>
    </i>
    <i i="1">
      <x v="1"/>
    </i>
  </colItems>
  <dataFields count="2">
    <dataField name="Sum of Deaths per 100K" fld="6" baseField="0" baseItem="0"/>
    <dataField name="Primary Care Physicians per 100K " fld="1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1" showRowHeaders="1" showColHeaders="1" showRowStripes="0" showColStripes="0" showLastColumn="1"/>
  <filters count="1">
    <filter fld="1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27290-9ECE-46E4-A8AB-BE0C75BE0FCF}" name="PivotTable4" cacheId="9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7">
  <location ref="M4:N14" firstHeaderRow="1" firstDataRow="1" firstDataCol="1"/>
  <pivotFields count="27">
    <pivotField compact="0" outline="0" showAll="0"/>
    <pivotField axis="axisRow" compact="0" outline="0" showAll="0" measureFilter="1" sortType="ascending">
      <items count="59">
        <item x="38"/>
        <item x="27"/>
        <item x="12"/>
        <item x="42"/>
        <item x="17"/>
        <item x="54"/>
        <item x="40"/>
        <item x="36"/>
        <item x="15"/>
        <item x="16"/>
        <item x="19"/>
        <item x="44"/>
        <item x="56"/>
        <item x="30"/>
        <item x="23"/>
        <item x="5"/>
        <item x="18"/>
        <item x="13"/>
        <item x="22"/>
        <item x="14"/>
        <item x="11"/>
        <item x="1"/>
        <item x="4"/>
        <item x="41"/>
        <item x="7"/>
        <item x="3"/>
        <item x="50"/>
        <item x="21"/>
        <item x="2"/>
        <item x="35"/>
        <item x="33"/>
        <item x="20"/>
        <item x="53"/>
        <item x="55"/>
        <item x="24"/>
        <item x="37"/>
        <item x="52"/>
        <item x="25"/>
        <item x="31"/>
        <item x="0"/>
        <item x="46"/>
        <item x="39"/>
        <item x="32"/>
        <item x="10"/>
        <item x="51"/>
        <item x="29"/>
        <item x="34"/>
        <item x="47"/>
        <item x="9"/>
        <item x="28"/>
        <item x="48"/>
        <item x="8"/>
        <item x="49"/>
        <item x="43"/>
        <item x="26"/>
        <item x="45"/>
        <item x="5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59">
        <item x="56"/>
        <item x="57"/>
        <item x="54"/>
        <item x="52"/>
        <item x="55"/>
        <item x="50"/>
        <item x="51"/>
        <item x="48"/>
        <item x="53"/>
        <item x="43"/>
        <item x="44"/>
        <item x="49"/>
        <item x="47"/>
        <item x="34"/>
        <item x="39"/>
        <item x="45"/>
        <item x="37"/>
        <item x="35"/>
        <item x="42"/>
        <item x="40"/>
        <item x="41"/>
        <item x="38"/>
        <item x="46"/>
        <item x="28"/>
        <item x="33"/>
        <item x="36"/>
        <item x="26"/>
        <item x="30"/>
        <item x="27"/>
        <item x="23"/>
        <item x="25"/>
        <item x="22"/>
        <item x="31"/>
        <item x="21"/>
        <item x="32"/>
        <item x="18"/>
        <item x="16"/>
        <item x="19"/>
        <item x="24"/>
        <item x="29"/>
        <item x="11"/>
        <item x="13"/>
        <item x="20"/>
        <item x="17"/>
        <item x="15"/>
        <item x="12"/>
        <item x="8"/>
        <item x="14"/>
        <item x="6"/>
        <item x="9"/>
        <item x="7"/>
        <item x="10"/>
        <item x="5"/>
        <item x="1"/>
        <item x="2"/>
        <item x="3"/>
        <item x="4"/>
        <item x="0"/>
        <item t="default"/>
      </items>
    </pivotField>
    <pivotField dataField="1" compact="0" outline="0" showAll="0">
      <items count="53">
        <item x="51"/>
        <item x="48"/>
        <item x="46"/>
        <item x="50"/>
        <item x="47"/>
        <item x="44"/>
        <item x="42"/>
        <item x="45"/>
        <item x="37"/>
        <item x="49"/>
        <item x="41"/>
        <item x="28"/>
        <item x="38"/>
        <item x="43"/>
        <item x="36"/>
        <item x="33"/>
        <item x="40"/>
        <item x="39"/>
        <item x="34"/>
        <item x="35"/>
        <item x="30"/>
        <item x="22"/>
        <item x="23"/>
        <item x="26"/>
        <item x="19"/>
        <item x="32"/>
        <item x="27"/>
        <item x="31"/>
        <item x="21"/>
        <item x="25"/>
        <item x="18"/>
        <item x="11"/>
        <item x="16"/>
        <item x="20"/>
        <item x="13"/>
        <item x="24"/>
        <item x="12"/>
        <item x="8"/>
        <item x="17"/>
        <item x="29"/>
        <item x="10"/>
        <item x="15"/>
        <item x="9"/>
        <item x="14"/>
        <item x="6"/>
        <item x="5"/>
        <item x="7"/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>
      <items count="4">
        <item x="2"/>
        <item x="1"/>
        <item x="0"/>
        <item t="default"/>
      </items>
    </pivotField>
  </pivotFields>
  <rowFields count="1">
    <field x="1"/>
  </rowFields>
  <rowItems count="10">
    <i>
      <x v="48"/>
    </i>
    <i>
      <x v="19"/>
    </i>
    <i>
      <x v="57"/>
    </i>
    <i>
      <x v="15"/>
    </i>
    <i>
      <x v="24"/>
    </i>
    <i>
      <x v="22"/>
    </i>
    <i>
      <x v="21"/>
    </i>
    <i>
      <x v="28"/>
    </i>
    <i>
      <x v="25"/>
    </i>
    <i>
      <x v="39"/>
    </i>
  </rowItems>
  <colItems count="1">
    <i/>
  </colItems>
  <dataFields count="1">
    <dataField name="Sum of Total Deaths" fld="4" baseField="0" baseItem="0"/>
  </dataFields>
  <chartFormats count="5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6FEF8-49CA-4056-A302-8F299E95EBE8}" name="PivotTable6" cacheId="9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2">
  <location ref="L20:N78" firstHeaderRow="1" firstDataRow="1" firstDataCol="2"/>
  <pivotFields count="27">
    <pivotField compact="0" outline="0" showAll="0"/>
    <pivotField axis="axisRow" compact="0" outline="0" showAll="0" defaultSubtotal="0">
      <items count="58">
        <item x="38"/>
        <item sd="0" x="27"/>
        <item x="12"/>
        <item x="42"/>
        <item x="17"/>
        <item x="54"/>
        <item x="40"/>
        <item x="36"/>
        <item x="15"/>
        <item x="16"/>
        <item x="19"/>
        <item x="44"/>
        <item x="56"/>
        <item x="30"/>
        <item x="23"/>
        <item x="5"/>
        <item x="18"/>
        <item x="13"/>
        <item x="22"/>
        <item x="14"/>
        <item x="11"/>
        <item x="1"/>
        <item x="4"/>
        <item x="41"/>
        <item x="7"/>
        <item x="3"/>
        <item x="50"/>
        <item x="21"/>
        <item x="2"/>
        <item x="35"/>
        <item x="33"/>
        <item x="20"/>
        <item x="53"/>
        <item x="55"/>
        <item x="24"/>
        <item x="37"/>
        <item x="52"/>
        <item x="25"/>
        <item x="31"/>
        <item x="0"/>
        <item x="46"/>
        <item x="39"/>
        <item x="32"/>
        <item x="10"/>
        <item x="51"/>
        <item x="29"/>
        <item x="34"/>
        <item x="47"/>
        <item x="9"/>
        <item x="28"/>
        <item x="48"/>
        <item x="8"/>
        <item x="49"/>
        <item x="43"/>
        <item x="26"/>
        <item x="45"/>
        <item x="57"/>
        <item x="6"/>
      </items>
    </pivotField>
    <pivotField compact="0" outline="0" showAll="0"/>
    <pivotField compact="0" outline="0" showAll="0">
      <items count="59">
        <item x="56"/>
        <item x="57"/>
        <item x="54"/>
        <item x="52"/>
        <item x="55"/>
        <item x="50"/>
        <item x="51"/>
        <item x="48"/>
        <item x="53"/>
        <item x="43"/>
        <item x="44"/>
        <item x="49"/>
        <item x="47"/>
        <item x="34"/>
        <item x="39"/>
        <item x="45"/>
        <item x="37"/>
        <item x="35"/>
        <item x="42"/>
        <item x="40"/>
        <item x="41"/>
        <item x="38"/>
        <item x="46"/>
        <item x="28"/>
        <item x="33"/>
        <item x="36"/>
        <item x="26"/>
        <item x="30"/>
        <item x="27"/>
        <item x="23"/>
        <item x="25"/>
        <item x="22"/>
        <item x="31"/>
        <item x="21"/>
        <item x="32"/>
        <item x="18"/>
        <item x="16"/>
        <item x="19"/>
        <item x="24"/>
        <item x="29"/>
        <item x="11"/>
        <item x="13"/>
        <item x="20"/>
        <item x="17"/>
        <item x="15"/>
        <item x="12"/>
        <item x="8"/>
        <item x="14"/>
        <item x="6"/>
        <item x="9"/>
        <item x="7"/>
        <item x="10"/>
        <item x="5"/>
        <item x="1"/>
        <item x="2"/>
        <item x="3"/>
        <item x="4"/>
        <item x="0"/>
        <item t="default"/>
      </items>
    </pivotField>
    <pivotField compact="0" outline="0" showAll="0">
      <items count="53">
        <item x="51"/>
        <item x="48"/>
        <item x="46"/>
        <item x="50"/>
        <item x="47"/>
        <item x="44"/>
        <item x="42"/>
        <item x="45"/>
        <item x="37"/>
        <item x="49"/>
        <item x="41"/>
        <item x="28"/>
        <item x="38"/>
        <item x="43"/>
        <item x="36"/>
        <item x="33"/>
        <item x="40"/>
        <item x="39"/>
        <item x="34"/>
        <item x="35"/>
        <item x="30"/>
        <item x="22"/>
        <item x="23"/>
        <item x="26"/>
        <item x="19"/>
        <item x="32"/>
        <item x="27"/>
        <item x="31"/>
        <item x="21"/>
        <item x="25"/>
        <item x="18"/>
        <item x="11"/>
        <item x="16"/>
        <item x="20"/>
        <item x="13"/>
        <item x="24"/>
        <item x="12"/>
        <item x="8"/>
        <item x="17"/>
        <item x="29"/>
        <item x="10"/>
        <item x="15"/>
        <item x="9"/>
        <item x="14"/>
        <item x="6"/>
        <item x="5"/>
        <item x="7"/>
        <item x="4"/>
        <item x="1"/>
        <item x="2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6">
        <item x="5"/>
        <item x="13"/>
        <item x="6"/>
        <item x="11"/>
        <item x="2"/>
        <item x="1"/>
        <item x="8"/>
        <item x="39"/>
        <item x="26"/>
        <item x="14"/>
        <item x="7"/>
        <item x="12"/>
        <item x="0"/>
        <item x="22"/>
        <item x="31"/>
        <item x="19"/>
        <item x="15"/>
        <item x="20"/>
        <item x="44"/>
        <item x="36"/>
        <item x="16"/>
        <item x="24"/>
        <item x="18"/>
        <item x="32"/>
        <item x="10"/>
        <item x="3"/>
        <item x="9"/>
        <item x="4"/>
        <item x="17"/>
        <item x="27"/>
        <item x="21"/>
        <item x="23"/>
        <item x="47"/>
        <item x="30"/>
        <item x="33"/>
        <item x="25"/>
        <item x="45"/>
        <item x="28"/>
        <item x="29"/>
        <item x="46"/>
        <item x="38"/>
        <item x="49"/>
        <item x="35"/>
        <item x="34"/>
        <item x="40"/>
        <item x="37"/>
        <item x="43"/>
        <item x="42"/>
        <item x="48"/>
        <item x="41"/>
        <item x="53"/>
        <item x="50"/>
        <item x="54"/>
        <item x="52"/>
        <item x="5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>
      <items count="4">
        <item x="2"/>
        <item x="1"/>
        <item x="0"/>
        <item t="default"/>
      </items>
    </pivotField>
  </pivotFields>
  <rowFields count="2">
    <field x="1"/>
    <field x="20"/>
  </rowFields>
  <rowItems count="58">
    <i>
      <x/>
      <x v="19"/>
    </i>
    <i>
      <x v="1"/>
    </i>
    <i>
      <x v="2"/>
      <x v="11"/>
    </i>
    <i>
      <x v="3"/>
      <x v="44"/>
    </i>
    <i>
      <x v="4"/>
      <x v="28"/>
    </i>
    <i>
      <x v="5"/>
      <x v="54"/>
    </i>
    <i>
      <x v="6"/>
      <x v="40"/>
    </i>
    <i>
      <x v="7"/>
      <x v="22"/>
    </i>
    <i>
      <x v="8"/>
      <x v="16"/>
    </i>
    <i>
      <x v="9"/>
      <x v="20"/>
    </i>
    <i>
      <x v="10"/>
      <x v="15"/>
    </i>
    <i>
      <x v="11"/>
      <x v="47"/>
    </i>
    <i>
      <x v="12"/>
      <x v="50"/>
    </i>
    <i>
      <x v="13"/>
      <x v="38"/>
    </i>
    <i>
      <x v="14"/>
      <x v="13"/>
    </i>
    <i>
      <x v="15"/>
      <x/>
    </i>
    <i>
      <x v="16"/>
      <x v="22"/>
    </i>
    <i>
      <x v="17"/>
      <x v="1"/>
    </i>
    <i>
      <x v="18"/>
      <x v="30"/>
    </i>
    <i>
      <x v="19"/>
      <x v="9"/>
    </i>
    <i>
      <x v="20"/>
      <x v="3"/>
    </i>
    <i>
      <x v="21"/>
      <x v="5"/>
    </i>
    <i>
      <x v="22"/>
      <x v="27"/>
    </i>
    <i>
      <x v="23"/>
      <x v="7"/>
    </i>
    <i>
      <x v="24"/>
      <x v="10"/>
    </i>
    <i>
      <x v="25"/>
      <x v="25"/>
    </i>
    <i>
      <x v="26"/>
      <x v="48"/>
    </i>
    <i>
      <x v="27"/>
      <x v="17"/>
    </i>
    <i>
      <x v="28"/>
      <x v="4"/>
    </i>
    <i>
      <x v="29"/>
      <x v="43"/>
    </i>
    <i>
      <x v="30"/>
      <x v="23"/>
    </i>
    <i>
      <x v="31"/>
      <x v="22"/>
    </i>
    <i>
      <x v="32"/>
      <x v="12"/>
    </i>
    <i>
      <x v="33"/>
      <x v="53"/>
    </i>
    <i>
      <x v="34"/>
      <x v="31"/>
    </i>
    <i>
      <x v="35"/>
      <x v="42"/>
    </i>
    <i>
      <x v="36"/>
      <x v="51"/>
    </i>
    <i>
      <x v="37"/>
      <x v="21"/>
    </i>
    <i>
      <x v="38"/>
      <x v="33"/>
    </i>
    <i>
      <x v="39"/>
      <x v="12"/>
    </i>
    <i>
      <x v="40"/>
      <x v="18"/>
    </i>
    <i>
      <x v="41"/>
      <x v="45"/>
    </i>
    <i>
      <x v="42"/>
      <x v="14"/>
    </i>
    <i>
      <x v="43"/>
      <x v="24"/>
    </i>
    <i>
      <x v="44"/>
      <x v="41"/>
    </i>
    <i>
      <x v="45"/>
      <x v="37"/>
    </i>
    <i>
      <x v="46"/>
      <x v="34"/>
    </i>
    <i>
      <x v="47"/>
      <x v="36"/>
    </i>
    <i>
      <x v="48"/>
      <x v="26"/>
    </i>
    <i>
      <x v="49"/>
      <x v="29"/>
    </i>
    <i>
      <x v="50"/>
      <x v="39"/>
    </i>
    <i>
      <x v="51"/>
      <x v="6"/>
    </i>
    <i>
      <x v="52"/>
      <x v="32"/>
    </i>
    <i>
      <x v="53"/>
      <x v="49"/>
    </i>
    <i>
      <x v="54"/>
      <x v="35"/>
    </i>
    <i>
      <x v="55"/>
      <x v="46"/>
    </i>
    <i>
      <x v="56"/>
      <x v="52"/>
    </i>
    <i>
      <x v="57"/>
      <x v="2"/>
    </i>
  </rowItems>
  <colItems count="1">
    <i/>
  </colItems>
  <dataFields count="1">
    <dataField name="Sum of Deaths per 100K" fld="6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5A4CF-41DB-46AD-9774-305D0F7644AE}" name="Table1" displayName="Table1" ref="A1:AA59" totalsRowShown="0">
  <autoFilter ref="A1:AA59" xr:uid="{19A5A4CF-41DB-46AD-9774-305D0F7644AE}"/>
  <tableColumns count="27">
    <tableColumn id="1" xr3:uid="{D079B6D6-6FF1-48BA-9265-7D78179D8A4D}" name="Geo ID"/>
    <tableColumn id="2" xr3:uid="{232D31D8-8C84-4268-A828-8A5E76C6A4DF}" name="County"/>
    <tableColumn id="3" xr3:uid="{4F5D3F71-A7EA-4BBB-B541-132023268DDB}" name="Population"/>
    <tableColumn id="4" xr3:uid="{E565F9B8-1A6E-4057-876B-763C9B772FB0}" name="Total Cases"/>
    <tableColumn id="5" xr3:uid="{D630E1ED-B3E1-4334-B919-0D440D0224A8}" name="Total Deaths"/>
    <tableColumn id="6" xr3:uid="{10A8EFA6-2CEE-4EB1-A76B-0B9339E81B88}" name="Cases per 100K"/>
    <tableColumn id="7" xr3:uid="{3411ACA1-8E35-413B-BDD8-C9084EC2B431}" name="Deaths per 100K"/>
    <tableColumn id="8" xr3:uid="{857B5DCA-44D2-444E-821C-B4B3F02A0315}" name="Total ED Hospitals"/>
    <tableColumn id="9" xr3:uid="{3A3DD971-C5B9-43C1-972F-191913F3624D}" name="Total Urgent Cares"/>
    <tableColumn id="10" xr3:uid="{A4F0FF18-0BE6-422C-A188-D5C3CEE20AC7}" name="Urgent Care per 100K"/>
    <tableColumn id="11" xr3:uid="{B613ECDD-B20F-482B-B619-41D27A97FE17}" name="Beds per 100K"/>
    <tableColumn id="12" xr3:uid="{8862B904-241A-4CC5-8613-6C3B8480F3CC}" name="Primary Care Physicians per 100K"/>
    <tableColumn id="13" xr3:uid="{2FCFC201-1CD2-422A-96C8-852613D7E3B6}" name="ED Hospitals per 100K"/>
    <tableColumn id="14" xr3:uid="{A839CF7F-2F08-48EC-8471-92E99E0132F1}" name="Median Urgent Care Distance"/>
    <tableColumn id="15" xr3:uid="{1DF34809-7B10-4E00-B789-E1578AB3374D}" name="Median HH Income"/>
    <tableColumn id="16" xr3:uid="{27E9E90C-A16D-4B70-8876-F1501C973C7A}" name="Percent Elderly"/>
    <tableColumn id="17" xr3:uid="{1813C344-A987-4B69-895C-E11CBB9E9B54}" name="Percent Diabetes"/>
    <tableColumn id="18" xr3:uid="{41C9D4F1-FD97-4EA8-AAD7-23FF36661BA5}" name="Percent Obesity"/>
    <tableColumn id="19" xr3:uid="{ADDD7EAC-2B3A-42C3-9EEE-F559A9B54EAB}" name="Percent Poverty"/>
    <tableColumn id="20" xr3:uid="{F1BA1C15-9CAC-4D00-B5DC-E3280029EB2B}" name="Percent Uninsured"/>
    <tableColumn id="21" xr3:uid="{11D73B62-849A-4A3C-BCC7-8E23A489E80C}" name="Risk Score"/>
    <tableColumn id="22" xr3:uid="{0F7F2BF1-0649-4936-82E0-5224304C6DF4}" name="Population Density"/>
    <tableColumn id="23" xr3:uid="{F3395282-60B8-4801-94DF-0641F0DFC19B}" name="SVI Socioeconomic"/>
    <tableColumn id="24" xr3:uid="{91519AC8-17F9-450C-8A96-7FF48586BB52}" name="SVI Household"/>
    <tableColumn id="25" xr3:uid="{FBC9EF45-FFE0-4763-B335-4A7A48ED6810}" name="SVI Minority"/>
    <tableColumn id="26" xr3:uid="{A5AD92AD-50D6-4308-9B62-EA0A25E86259}" name="SVI Overall"/>
    <tableColumn id="27" xr3:uid="{E029C328-E69B-4268-B975-FAF3B7F894D8}" name="Risk Category" dataDxfId="0">
      <calculatedColumnFormula array="1">_xlfn.IFS(Table1[[#This Row],[Risk Score]]&lt;14,"Low",Table1[[#This Row],[Risk Score]]&lt;17,"Medium",TRUE,"High")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5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94D6-93BE-4C11-B567-F94124510D8F}">
  <dimension ref="A1:AA59"/>
  <sheetViews>
    <sheetView workbookViewId="0">
      <selection activeCell="B59" sqref="B59"/>
    </sheetView>
  </sheetViews>
  <sheetFormatPr defaultRowHeight="15"/>
  <cols>
    <col min="1" max="1" width="9.42578125" bestFit="1" customWidth="1"/>
    <col min="2" max="2" width="21.85546875" bestFit="1" customWidth="1"/>
    <col min="3" max="3" width="13.140625" bestFit="1" customWidth="1"/>
    <col min="4" max="4" width="19" bestFit="1" customWidth="1"/>
    <col min="5" max="5" width="20.42578125" bestFit="1" customWidth="1"/>
    <col min="6" max="6" width="17.7109375" bestFit="1" customWidth="1"/>
    <col min="7" max="7" width="19" bestFit="1" customWidth="1"/>
    <col min="8" max="8" width="20.28515625" bestFit="1" customWidth="1"/>
    <col min="9" max="9" width="19.7109375" bestFit="1" customWidth="1"/>
    <col min="10" max="10" width="24" bestFit="1" customWidth="1"/>
    <col min="11" max="11" width="17.28515625" bestFit="1" customWidth="1"/>
    <col min="12" max="12" width="35.7109375" bestFit="1" customWidth="1"/>
    <col min="13" max="13" width="24.5703125" bestFit="1" customWidth="1"/>
    <col min="14" max="14" width="26.7109375" bestFit="1" customWidth="1"/>
    <col min="15" max="15" width="21.42578125" bestFit="1" customWidth="1"/>
    <col min="16" max="16" width="17.5703125" bestFit="1" customWidth="1"/>
    <col min="17" max="17" width="19.140625" bestFit="1" customWidth="1"/>
    <col min="18" max="18" width="18" bestFit="1" customWidth="1"/>
    <col min="19" max="19" width="18.42578125" bestFit="1" customWidth="1"/>
    <col min="20" max="20" width="20.5703125" bestFit="1" customWidth="1"/>
    <col min="21" max="21" width="12.42578125" bestFit="1" customWidth="1"/>
    <col min="22" max="22" width="14.42578125" bestFit="1" customWidth="1"/>
    <col min="23" max="23" width="20.28515625" bestFit="1" customWidth="1"/>
    <col min="24" max="24" width="16.42578125" bestFit="1" customWidth="1"/>
    <col min="25" max="25" width="14.5703125" bestFit="1" customWidth="1"/>
    <col min="26" max="26" width="13" bestFit="1" customWidth="1"/>
    <col min="27" max="27" width="15.570312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6037</v>
      </c>
      <c r="B2" t="s">
        <v>27</v>
      </c>
      <c r="C2">
        <v>10103711</v>
      </c>
      <c r="D2">
        <v>770914</v>
      </c>
      <c r="E2">
        <v>10345</v>
      </c>
      <c r="F2">
        <v>7630.01</v>
      </c>
      <c r="G2">
        <v>102.39</v>
      </c>
      <c r="H2">
        <v>121</v>
      </c>
      <c r="I2">
        <v>128</v>
      </c>
      <c r="J2">
        <v>1</v>
      </c>
      <c r="K2">
        <v>239</v>
      </c>
      <c r="L2">
        <v>74</v>
      </c>
      <c r="M2">
        <v>1</v>
      </c>
      <c r="N2">
        <v>1.4</v>
      </c>
      <c r="O2">
        <v>75624</v>
      </c>
      <c r="P2">
        <v>13.65</v>
      </c>
      <c r="Q2">
        <v>10.3</v>
      </c>
      <c r="R2">
        <v>28.8</v>
      </c>
      <c r="S2">
        <v>13.2</v>
      </c>
      <c r="T2">
        <v>10.199999999999999</v>
      </c>
      <c r="U2">
        <v>14.7</v>
      </c>
      <c r="V2">
        <v>2473.5300000000002</v>
      </c>
      <c r="W2">
        <v>0.87</v>
      </c>
      <c r="X2">
        <v>0.32</v>
      </c>
      <c r="Y2">
        <v>0.97</v>
      </c>
      <c r="Z2">
        <v>0.86</v>
      </c>
      <c r="AA2" t="str" cm="1">
        <f t="array" ref="AA2">_xlfn.IFS(Table1[[#This Row],[Risk Score]]&lt;14,"Low",Table1[[#This Row],[Risk Score]]&lt;17,"Medium",TRUE,"High")</f>
        <v>Medium</v>
      </c>
    </row>
    <row r="3" spans="1:27">
      <c r="A3">
        <v>6073</v>
      </c>
      <c r="B3" t="s">
        <v>28</v>
      </c>
      <c r="C3">
        <v>3321237</v>
      </c>
      <c r="D3">
        <v>155657</v>
      </c>
      <c r="E3">
        <v>1534</v>
      </c>
      <c r="F3">
        <v>4686.72</v>
      </c>
      <c r="G3">
        <v>46.19</v>
      </c>
      <c r="H3">
        <v>28</v>
      </c>
      <c r="I3">
        <v>40</v>
      </c>
      <c r="J3">
        <v>1</v>
      </c>
      <c r="K3">
        <v>216</v>
      </c>
      <c r="L3">
        <v>82</v>
      </c>
      <c r="M3">
        <v>1</v>
      </c>
      <c r="N3">
        <v>1.99</v>
      </c>
      <c r="O3">
        <v>87126</v>
      </c>
      <c r="P3">
        <v>14.07</v>
      </c>
      <c r="Q3">
        <v>9</v>
      </c>
      <c r="R3">
        <v>28.4</v>
      </c>
      <c r="S3">
        <v>9.5</v>
      </c>
      <c r="T3">
        <v>8.1999999999999993</v>
      </c>
      <c r="U3">
        <v>13.91</v>
      </c>
      <c r="V3">
        <v>789.5</v>
      </c>
      <c r="W3">
        <v>0.63</v>
      </c>
      <c r="X3">
        <v>0.24</v>
      </c>
      <c r="Y3">
        <v>0.9</v>
      </c>
      <c r="Z3">
        <v>0.7</v>
      </c>
      <c r="AA3" t="str" cm="1">
        <f t="array" ref="AA3">_xlfn.IFS(Table1[[#This Row],[Risk Score]]&lt;14,"Low",Table1[[#This Row],[Risk Score]]&lt;17,"Medium",TRUE,"High")</f>
        <v>Low</v>
      </c>
    </row>
    <row r="4" spans="1:27">
      <c r="A4">
        <v>6059</v>
      </c>
      <c r="B4" t="s">
        <v>29</v>
      </c>
      <c r="C4">
        <v>3174289</v>
      </c>
      <c r="D4">
        <v>166195</v>
      </c>
      <c r="E4">
        <v>1875</v>
      </c>
      <c r="F4">
        <v>5235.66</v>
      </c>
      <c r="G4">
        <v>59.07</v>
      </c>
      <c r="H4">
        <v>43</v>
      </c>
      <c r="I4">
        <v>59</v>
      </c>
      <c r="J4">
        <v>2</v>
      </c>
      <c r="K4">
        <v>196</v>
      </c>
      <c r="L4">
        <v>100</v>
      </c>
      <c r="M4">
        <v>1</v>
      </c>
      <c r="N4">
        <v>1.4</v>
      </c>
      <c r="O4">
        <v>98786</v>
      </c>
      <c r="P4">
        <v>14.79</v>
      </c>
      <c r="Q4">
        <v>9.1</v>
      </c>
      <c r="R4">
        <v>23</v>
      </c>
      <c r="S4">
        <v>9</v>
      </c>
      <c r="T4">
        <v>7.5</v>
      </c>
      <c r="U4">
        <v>13.29</v>
      </c>
      <c r="V4">
        <v>3998.72</v>
      </c>
      <c r="W4">
        <v>0.54</v>
      </c>
      <c r="X4">
        <v>0.22</v>
      </c>
      <c r="Y4">
        <v>0.92</v>
      </c>
      <c r="Z4">
        <v>0.56000000000000005</v>
      </c>
      <c r="AA4" t="str" cm="1">
        <f t="array" ref="AA4">_xlfn.IFS(Table1[[#This Row],[Risk Score]]&lt;14,"Low",Table1[[#This Row],[Risk Score]]&lt;17,"Medium",TRUE,"High")</f>
        <v>Low</v>
      </c>
    </row>
    <row r="5" spans="1:27">
      <c r="A5">
        <v>6065</v>
      </c>
      <c r="B5" t="s">
        <v>30</v>
      </c>
      <c r="C5">
        <v>2414964</v>
      </c>
      <c r="D5">
        <v>180552</v>
      </c>
      <c r="E5">
        <v>1985</v>
      </c>
      <c r="F5">
        <v>7476.38</v>
      </c>
      <c r="G5">
        <v>82.2</v>
      </c>
      <c r="H5">
        <v>20</v>
      </c>
      <c r="I5">
        <v>50</v>
      </c>
      <c r="J5">
        <v>2</v>
      </c>
      <c r="K5">
        <v>139</v>
      </c>
      <c r="L5">
        <v>45</v>
      </c>
      <c r="M5">
        <v>1</v>
      </c>
      <c r="N5">
        <v>1.93</v>
      </c>
      <c r="O5">
        <v>76409</v>
      </c>
      <c r="P5">
        <v>14.45</v>
      </c>
      <c r="Q5">
        <v>10.6</v>
      </c>
      <c r="R5">
        <v>34.700000000000003</v>
      </c>
      <c r="S5">
        <v>11.2</v>
      </c>
      <c r="T5">
        <v>9.5</v>
      </c>
      <c r="U5">
        <v>15.7</v>
      </c>
      <c r="V5">
        <v>338.16</v>
      </c>
      <c r="W5">
        <v>0.83</v>
      </c>
      <c r="X5">
        <v>0.66</v>
      </c>
      <c r="Y5">
        <v>0.95</v>
      </c>
      <c r="Z5">
        <v>0.83</v>
      </c>
      <c r="AA5" t="str" cm="1">
        <f t="array" ref="AA5">_xlfn.IFS(Table1[[#This Row],[Risk Score]]&lt;14,"Low",Table1[[#This Row],[Risk Score]]&lt;17,"Medium",TRUE,"High")</f>
        <v>Medium</v>
      </c>
    </row>
    <row r="6" spans="1:27">
      <c r="A6">
        <v>6071</v>
      </c>
      <c r="B6" t="s">
        <v>31</v>
      </c>
      <c r="C6">
        <v>2150945</v>
      </c>
      <c r="D6">
        <v>194376</v>
      </c>
      <c r="E6">
        <v>1445</v>
      </c>
      <c r="F6">
        <v>9036.77</v>
      </c>
      <c r="G6">
        <v>67.180000000000007</v>
      </c>
      <c r="H6">
        <v>23</v>
      </c>
      <c r="I6">
        <v>37</v>
      </c>
      <c r="J6">
        <v>2</v>
      </c>
      <c r="K6">
        <v>289</v>
      </c>
      <c r="L6">
        <v>60</v>
      </c>
      <c r="M6">
        <v>1</v>
      </c>
      <c r="N6">
        <v>2.4</v>
      </c>
      <c r="O6">
        <v>65984</v>
      </c>
      <c r="P6">
        <v>11.56</v>
      </c>
      <c r="Q6">
        <v>11.7</v>
      </c>
      <c r="R6">
        <v>39.1</v>
      </c>
      <c r="S6">
        <v>14.3</v>
      </c>
      <c r="T6">
        <v>8.9</v>
      </c>
      <c r="U6">
        <v>15.73</v>
      </c>
      <c r="V6">
        <v>107.76</v>
      </c>
      <c r="W6">
        <v>0.88</v>
      </c>
      <c r="X6">
        <v>0.78</v>
      </c>
      <c r="Y6">
        <v>0.97</v>
      </c>
      <c r="Z6">
        <v>0.91</v>
      </c>
      <c r="AA6" t="str" cm="1">
        <f t="array" ref="AA6">_xlfn.IFS(Table1[[#This Row],[Risk Score]]&lt;14,"Low",Table1[[#This Row],[Risk Score]]&lt;17,"Medium",TRUE,"High")</f>
        <v>Medium</v>
      </c>
    </row>
    <row r="7" spans="1:27">
      <c r="A7">
        <v>6085</v>
      </c>
      <c r="B7" t="s">
        <v>32</v>
      </c>
      <c r="C7">
        <v>1932510</v>
      </c>
      <c r="D7">
        <v>69878</v>
      </c>
      <c r="E7">
        <v>710</v>
      </c>
      <c r="F7">
        <v>3615.92</v>
      </c>
      <c r="G7">
        <v>36.74</v>
      </c>
      <c r="H7">
        <v>16</v>
      </c>
      <c r="I7">
        <v>13</v>
      </c>
      <c r="J7">
        <v>1</v>
      </c>
      <c r="K7">
        <v>218</v>
      </c>
      <c r="L7">
        <v>107</v>
      </c>
      <c r="M7">
        <v>1</v>
      </c>
      <c r="N7">
        <v>2.04</v>
      </c>
      <c r="O7">
        <v>139462</v>
      </c>
      <c r="P7">
        <v>13.51</v>
      </c>
      <c r="Q7">
        <v>8.6</v>
      </c>
      <c r="R7">
        <v>20.5</v>
      </c>
      <c r="S7">
        <v>6.6</v>
      </c>
      <c r="T7">
        <v>5</v>
      </c>
      <c r="U7">
        <v>11.79</v>
      </c>
      <c r="V7">
        <v>1490.52</v>
      </c>
      <c r="W7">
        <v>0.17</v>
      </c>
      <c r="X7">
        <v>0.11</v>
      </c>
      <c r="Y7">
        <v>0.96</v>
      </c>
      <c r="Z7">
        <v>0.37</v>
      </c>
      <c r="AA7" t="str" cm="1">
        <f t="array" ref="AA7">_xlfn.IFS(Table1[[#This Row],[Risk Score]]&lt;14,"Low",Table1[[#This Row],[Risk Score]]&lt;17,"Medium",TRUE,"High")</f>
        <v>Low</v>
      </c>
    </row>
    <row r="8" spans="1:27">
      <c r="A8">
        <v>6001</v>
      </c>
      <c r="B8" t="s">
        <v>33</v>
      </c>
      <c r="C8">
        <v>1660196</v>
      </c>
      <c r="D8">
        <v>51610</v>
      </c>
      <c r="E8">
        <v>657</v>
      </c>
      <c r="F8">
        <v>3108.67</v>
      </c>
      <c r="G8">
        <v>39.57</v>
      </c>
      <c r="H8">
        <v>23</v>
      </c>
      <c r="I8">
        <v>10</v>
      </c>
      <c r="J8">
        <v>1</v>
      </c>
      <c r="K8">
        <v>214</v>
      </c>
      <c r="L8">
        <v>113</v>
      </c>
      <c r="M8">
        <v>1</v>
      </c>
      <c r="N8">
        <v>2.2000000000000002</v>
      </c>
      <c r="O8">
        <v>113518</v>
      </c>
      <c r="P8">
        <v>13.91</v>
      </c>
      <c r="Q8">
        <v>9.1</v>
      </c>
      <c r="R8">
        <v>24.3</v>
      </c>
      <c r="S8">
        <v>8.6</v>
      </c>
      <c r="T8">
        <v>4.9000000000000004</v>
      </c>
      <c r="U8">
        <v>12.83</v>
      </c>
      <c r="V8">
        <v>2253.12</v>
      </c>
      <c r="W8">
        <v>0.3</v>
      </c>
      <c r="X8">
        <v>0.12</v>
      </c>
      <c r="Y8">
        <v>0.96</v>
      </c>
      <c r="Z8">
        <v>0.52</v>
      </c>
      <c r="AA8" t="str" cm="1">
        <f t="array" ref="AA8">_xlfn.IFS(Table1[[#This Row],[Risk Score]]&lt;14,"Low",Table1[[#This Row],[Risk Score]]&lt;17,"Medium",TRUE,"High")</f>
        <v>Low</v>
      </c>
    </row>
    <row r="9" spans="1:27">
      <c r="A9">
        <v>6067</v>
      </c>
      <c r="B9" t="s">
        <v>34</v>
      </c>
      <c r="C9">
        <v>1527301</v>
      </c>
      <c r="D9">
        <v>65539</v>
      </c>
      <c r="E9">
        <v>857</v>
      </c>
      <c r="F9">
        <v>4291.16</v>
      </c>
      <c r="G9">
        <v>56.11</v>
      </c>
      <c r="H9">
        <v>13</v>
      </c>
      <c r="I9">
        <v>18</v>
      </c>
      <c r="J9">
        <v>1</v>
      </c>
      <c r="K9">
        <v>209</v>
      </c>
      <c r="L9">
        <v>91</v>
      </c>
      <c r="M9">
        <v>1</v>
      </c>
      <c r="N9">
        <v>2.04</v>
      </c>
      <c r="O9">
        <v>72953</v>
      </c>
      <c r="P9">
        <v>14.08</v>
      </c>
      <c r="Q9">
        <v>9.9</v>
      </c>
      <c r="R9">
        <v>30.7</v>
      </c>
      <c r="S9">
        <v>12.5</v>
      </c>
      <c r="T9">
        <v>6.4</v>
      </c>
      <c r="U9">
        <v>14.6</v>
      </c>
      <c r="V9">
        <v>1593.28</v>
      </c>
      <c r="W9">
        <v>0.65</v>
      </c>
      <c r="X9">
        <v>0.68</v>
      </c>
      <c r="Y9">
        <v>0.91</v>
      </c>
      <c r="Z9">
        <v>0.77</v>
      </c>
      <c r="AA9" t="str" cm="1">
        <f t="array" ref="AA9">_xlfn.IFS(Table1[[#This Row],[Risk Score]]&lt;14,"Low",Table1[[#This Row],[Risk Score]]&lt;17,"Medium",TRUE,"High")</f>
        <v>Medium</v>
      </c>
    </row>
    <row r="10" spans="1:27">
      <c r="A10">
        <v>6013</v>
      </c>
      <c r="B10" t="s">
        <v>35</v>
      </c>
      <c r="C10">
        <v>1145535</v>
      </c>
      <c r="D10">
        <v>40696</v>
      </c>
      <c r="E10">
        <v>335</v>
      </c>
      <c r="F10">
        <v>3552.58</v>
      </c>
      <c r="G10">
        <v>29.24</v>
      </c>
      <c r="H10">
        <v>13</v>
      </c>
      <c r="I10">
        <v>8</v>
      </c>
      <c r="J10">
        <v>1</v>
      </c>
      <c r="K10">
        <v>130</v>
      </c>
      <c r="L10">
        <v>103</v>
      </c>
      <c r="M10">
        <v>1</v>
      </c>
      <c r="N10">
        <v>3.41</v>
      </c>
      <c r="O10">
        <v>106484</v>
      </c>
      <c r="P10">
        <v>15.82</v>
      </c>
      <c r="Q10">
        <v>8.8000000000000007</v>
      </c>
      <c r="R10">
        <v>28.1</v>
      </c>
      <c r="S10">
        <v>7.2</v>
      </c>
      <c r="T10">
        <v>5.4</v>
      </c>
      <c r="U10">
        <v>14</v>
      </c>
      <c r="V10">
        <v>1600.98</v>
      </c>
      <c r="W10">
        <v>0.32</v>
      </c>
      <c r="X10">
        <v>0.46</v>
      </c>
      <c r="Y10">
        <v>0.91</v>
      </c>
      <c r="Z10">
        <v>0.47</v>
      </c>
      <c r="AA10" t="str" cm="1">
        <f t="array" ref="AA10">_xlfn.IFS(Table1[[#This Row],[Risk Score]]&lt;14,"Low",Table1[[#This Row],[Risk Score]]&lt;17,"Medium",TRUE,"High")</f>
        <v>Medium</v>
      </c>
    </row>
    <row r="11" spans="1:27">
      <c r="A11">
        <v>6019</v>
      </c>
      <c r="B11" t="s">
        <v>36</v>
      </c>
      <c r="C11">
        <v>985238</v>
      </c>
      <c r="D11">
        <v>65399</v>
      </c>
      <c r="E11">
        <v>646</v>
      </c>
      <c r="F11">
        <v>6637.89</v>
      </c>
      <c r="G11">
        <v>65.569999999999993</v>
      </c>
      <c r="H11">
        <v>11</v>
      </c>
      <c r="I11">
        <v>7</v>
      </c>
      <c r="J11">
        <v>1</v>
      </c>
      <c r="K11">
        <v>188</v>
      </c>
      <c r="L11">
        <v>69</v>
      </c>
      <c r="M11">
        <v>1</v>
      </c>
      <c r="N11">
        <v>3.25</v>
      </c>
      <c r="O11">
        <v>61401</v>
      </c>
      <c r="P11">
        <v>12.23</v>
      </c>
      <c r="Q11">
        <v>12.2</v>
      </c>
      <c r="R11">
        <v>34.6</v>
      </c>
      <c r="S11">
        <v>17.100000000000001</v>
      </c>
      <c r="T11">
        <v>8.8000000000000007</v>
      </c>
      <c r="U11">
        <v>15.72</v>
      </c>
      <c r="V11">
        <v>166.19</v>
      </c>
      <c r="W11">
        <v>0.96</v>
      </c>
      <c r="X11">
        <v>0.88</v>
      </c>
      <c r="Y11">
        <v>0.97</v>
      </c>
      <c r="Z11">
        <v>0.96</v>
      </c>
      <c r="AA11" t="str" cm="1">
        <f t="array" ref="AA11">_xlfn.IFS(Table1[[#This Row],[Risk Score]]&lt;14,"Low",Table1[[#This Row],[Risk Score]]&lt;17,"Medium",TRUE,"High")</f>
        <v>Medium</v>
      </c>
    </row>
    <row r="12" spans="1:27">
      <c r="A12">
        <v>6029</v>
      </c>
      <c r="B12" t="s">
        <v>37</v>
      </c>
      <c r="C12">
        <v>887356</v>
      </c>
      <c r="D12">
        <v>68968</v>
      </c>
      <c r="E12">
        <v>512</v>
      </c>
      <c r="F12">
        <v>7772.3</v>
      </c>
      <c r="G12">
        <v>57.7</v>
      </c>
      <c r="H12">
        <v>14</v>
      </c>
      <c r="I12">
        <v>7</v>
      </c>
      <c r="J12">
        <v>1</v>
      </c>
      <c r="K12">
        <v>188</v>
      </c>
      <c r="L12">
        <v>49</v>
      </c>
      <c r="M12">
        <v>2</v>
      </c>
      <c r="N12">
        <v>3.42</v>
      </c>
      <c r="O12">
        <v>58583</v>
      </c>
      <c r="P12">
        <v>10.97</v>
      </c>
      <c r="Q12">
        <v>12.5</v>
      </c>
      <c r="R12">
        <v>35</v>
      </c>
      <c r="S12">
        <v>18.3</v>
      </c>
      <c r="T12">
        <v>9.6</v>
      </c>
      <c r="U12">
        <v>15.55</v>
      </c>
      <c r="V12">
        <v>109.71</v>
      </c>
      <c r="W12">
        <v>0.96</v>
      </c>
      <c r="X12">
        <v>0.82</v>
      </c>
      <c r="Y12">
        <v>0.95</v>
      </c>
      <c r="Z12">
        <v>0.97</v>
      </c>
      <c r="AA12" t="str" cm="1">
        <f t="array" ref="AA12">_xlfn.IFS(Table1[[#This Row],[Risk Score]]&lt;14,"Low",Table1[[#This Row],[Risk Score]]&lt;17,"Medium",TRUE,"High")</f>
        <v>Medium</v>
      </c>
    </row>
    <row r="13" spans="1:27">
      <c r="A13">
        <v>6075</v>
      </c>
      <c r="B13" t="s">
        <v>38</v>
      </c>
      <c r="C13">
        <v>878040</v>
      </c>
      <c r="D13">
        <v>23225</v>
      </c>
      <c r="E13">
        <v>186</v>
      </c>
      <c r="F13">
        <v>2645.1</v>
      </c>
      <c r="G13">
        <v>21.18</v>
      </c>
      <c r="H13">
        <v>13</v>
      </c>
      <c r="I13">
        <v>5</v>
      </c>
      <c r="J13">
        <v>1</v>
      </c>
      <c r="K13">
        <v>494</v>
      </c>
      <c r="L13">
        <v>160</v>
      </c>
      <c r="M13">
        <v>1</v>
      </c>
      <c r="N13">
        <v>1.48</v>
      </c>
      <c r="O13">
        <v>121722</v>
      </c>
      <c r="P13">
        <v>15.79</v>
      </c>
      <c r="Q13">
        <v>8.8000000000000007</v>
      </c>
      <c r="R13">
        <v>19</v>
      </c>
      <c r="S13">
        <v>10</v>
      </c>
      <c r="T13">
        <v>4.9000000000000004</v>
      </c>
      <c r="U13">
        <v>12.86</v>
      </c>
      <c r="V13">
        <v>18648.13</v>
      </c>
      <c r="W13">
        <v>0.25</v>
      </c>
      <c r="X13">
        <v>0.03</v>
      </c>
      <c r="Y13">
        <v>0.92</v>
      </c>
      <c r="Z13">
        <v>0.43</v>
      </c>
      <c r="AA13" t="str" cm="1">
        <f t="array" ref="AA13">_xlfn.IFS(Table1[[#This Row],[Risk Score]]&lt;14,"Low",Table1[[#This Row],[Risk Score]]&lt;17,"Medium",TRUE,"High")</f>
        <v>Low</v>
      </c>
    </row>
    <row r="14" spans="1:27">
      <c r="A14">
        <v>6111</v>
      </c>
      <c r="B14" t="s">
        <v>39</v>
      </c>
      <c r="C14">
        <v>849044</v>
      </c>
      <c r="D14">
        <v>39558</v>
      </c>
      <c r="E14">
        <v>263</v>
      </c>
      <c r="F14">
        <v>4659.12</v>
      </c>
      <c r="G14">
        <v>30.98</v>
      </c>
      <c r="H14">
        <v>10</v>
      </c>
      <c r="I14">
        <v>24</v>
      </c>
      <c r="J14">
        <v>3</v>
      </c>
      <c r="K14">
        <v>146</v>
      </c>
      <c r="L14">
        <v>81</v>
      </c>
      <c r="M14">
        <v>1</v>
      </c>
      <c r="N14">
        <v>1.52</v>
      </c>
      <c r="O14">
        <v>90961</v>
      </c>
      <c r="P14">
        <v>15.57</v>
      </c>
      <c r="Q14">
        <v>9.3000000000000007</v>
      </c>
      <c r="R14">
        <v>28.9</v>
      </c>
      <c r="S14">
        <v>9.1</v>
      </c>
      <c r="T14">
        <v>8.1999999999999993</v>
      </c>
      <c r="U14">
        <v>14.62</v>
      </c>
      <c r="V14">
        <v>459.37</v>
      </c>
      <c r="W14">
        <v>0.56999999999999995</v>
      </c>
      <c r="X14">
        <v>0.35</v>
      </c>
      <c r="Y14">
        <v>0.9</v>
      </c>
      <c r="Z14">
        <v>0.61</v>
      </c>
      <c r="AA14" t="str" cm="1">
        <f t="array" ref="AA14">_xlfn.IFS(Table1[[#This Row],[Risk Score]]&lt;14,"Low",Table1[[#This Row],[Risk Score]]&lt;17,"Medium",TRUE,"High")</f>
        <v>Medium</v>
      </c>
    </row>
    <row r="15" spans="1:27">
      <c r="A15">
        <v>6081</v>
      </c>
      <c r="B15" t="s">
        <v>40</v>
      </c>
      <c r="C15">
        <v>768901</v>
      </c>
      <c r="D15">
        <v>24588</v>
      </c>
      <c r="E15">
        <v>227</v>
      </c>
      <c r="F15">
        <v>3197.81</v>
      </c>
      <c r="G15">
        <v>29.52</v>
      </c>
      <c r="H15">
        <v>9</v>
      </c>
      <c r="I15">
        <v>4</v>
      </c>
      <c r="J15">
        <v>1</v>
      </c>
      <c r="K15">
        <v>146</v>
      </c>
      <c r="L15">
        <v>107</v>
      </c>
      <c r="M15">
        <v>1</v>
      </c>
      <c r="N15">
        <v>2.64</v>
      </c>
      <c r="O15">
        <v>132369</v>
      </c>
      <c r="P15">
        <v>16.170000000000002</v>
      </c>
      <c r="Q15">
        <v>8.3000000000000007</v>
      </c>
      <c r="R15">
        <v>21.1</v>
      </c>
      <c r="S15">
        <v>5.5</v>
      </c>
      <c r="T15">
        <v>4.4000000000000004</v>
      </c>
      <c r="U15">
        <v>12.7</v>
      </c>
      <c r="V15">
        <v>1706.62</v>
      </c>
      <c r="W15">
        <v>0.13</v>
      </c>
      <c r="X15">
        <v>0.09</v>
      </c>
      <c r="Y15">
        <v>0.93</v>
      </c>
      <c r="Z15">
        <v>0.26</v>
      </c>
      <c r="AA15" t="str" cm="1">
        <f t="array" ref="AA15">_xlfn.IFS(Table1[[#This Row],[Risk Score]]&lt;14,"Low",Table1[[#This Row],[Risk Score]]&lt;17,"Medium",TRUE,"High")</f>
        <v>Low</v>
      </c>
    </row>
    <row r="16" spans="1:27">
      <c r="A16">
        <v>6077</v>
      </c>
      <c r="B16" t="s">
        <v>41</v>
      </c>
      <c r="C16">
        <v>743296</v>
      </c>
      <c r="D16">
        <v>45582</v>
      </c>
      <c r="E16">
        <v>651</v>
      </c>
      <c r="F16">
        <v>6132.42</v>
      </c>
      <c r="G16">
        <v>87.58</v>
      </c>
      <c r="H16">
        <v>9</v>
      </c>
      <c r="I16">
        <v>7</v>
      </c>
      <c r="J16">
        <v>1</v>
      </c>
      <c r="K16">
        <v>141</v>
      </c>
      <c r="L16">
        <v>60</v>
      </c>
      <c r="M16">
        <v>1</v>
      </c>
      <c r="N16">
        <v>3.68</v>
      </c>
      <c r="O16">
        <v>70685</v>
      </c>
      <c r="P16">
        <v>12.77</v>
      </c>
      <c r="Q16">
        <v>11</v>
      </c>
      <c r="R16">
        <v>29.6</v>
      </c>
      <c r="S16">
        <v>13.9</v>
      </c>
      <c r="T16">
        <v>7.7</v>
      </c>
      <c r="U16">
        <v>14.46</v>
      </c>
      <c r="V16">
        <v>539.80999999999995</v>
      </c>
      <c r="W16">
        <v>0.83</v>
      </c>
      <c r="X16">
        <v>0.82</v>
      </c>
      <c r="Y16">
        <v>0.96</v>
      </c>
      <c r="Z16">
        <v>0.89</v>
      </c>
      <c r="AA16" t="str" cm="1">
        <f t="array" ref="AA16">_xlfn.IFS(Table1[[#This Row],[Risk Score]]&lt;14,"Low",Table1[[#This Row],[Risk Score]]&lt;17,"Medium",TRUE,"High")</f>
        <v>Medium</v>
      </c>
    </row>
    <row r="17" spans="1:27">
      <c r="A17">
        <v>6099</v>
      </c>
      <c r="B17" t="s">
        <v>42</v>
      </c>
      <c r="C17">
        <v>544717</v>
      </c>
      <c r="D17">
        <v>37522</v>
      </c>
      <c r="E17">
        <v>616</v>
      </c>
      <c r="F17">
        <v>6888.35</v>
      </c>
      <c r="G17">
        <v>113.09</v>
      </c>
      <c r="H17">
        <v>9</v>
      </c>
      <c r="I17">
        <v>7</v>
      </c>
      <c r="J17">
        <v>1</v>
      </c>
      <c r="K17">
        <v>206</v>
      </c>
      <c r="L17">
        <v>65</v>
      </c>
      <c r="M17">
        <v>2</v>
      </c>
      <c r="N17">
        <v>2.16</v>
      </c>
      <c r="O17">
        <v>64501</v>
      </c>
      <c r="P17">
        <v>13.04</v>
      </c>
      <c r="Q17">
        <v>10.8</v>
      </c>
      <c r="R17">
        <v>33.1</v>
      </c>
      <c r="S17">
        <v>13</v>
      </c>
      <c r="T17">
        <v>7.4</v>
      </c>
      <c r="U17">
        <v>14.92</v>
      </c>
      <c r="V17">
        <v>365.13</v>
      </c>
      <c r="W17">
        <v>0.84</v>
      </c>
      <c r="X17">
        <v>0.84</v>
      </c>
      <c r="Y17">
        <v>0.92</v>
      </c>
      <c r="Z17">
        <v>0.85</v>
      </c>
      <c r="AA17" t="str" cm="1">
        <f t="array" ref="AA17">_xlfn.IFS(Table1[[#This Row],[Risk Score]]&lt;14,"Low",Table1[[#This Row],[Risk Score]]&lt;17,"Medium",TRUE,"High")</f>
        <v>Medium</v>
      </c>
    </row>
    <row r="18" spans="1:27">
      <c r="A18">
        <v>6097</v>
      </c>
      <c r="B18" t="s">
        <v>43</v>
      </c>
      <c r="C18">
        <v>502469</v>
      </c>
      <c r="D18">
        <v>19054</v>
      </c>
      <c r="E18">
        <v>192</v>
      </c>
      <c r="F18">
        <v>3792.07</v>
      </c>
      <c r="G18">
        <v>38.21</v>
      </c>
      <c r="H18">
        <v>13</v>
      </c>
      <c r="I18">
        <v>4</v>
      </c>
      <c r="J18">
        <v>1</v>
      </c>
      <c r="K18">
        <v>280</v>
      </c>
      <c r="L18">
        <v>101</v>
      </c>
      <c r="M18">
        <v>3</v>
      </c>
      <c r="N18">
        <v>5.04</v>
      </c>
      <c r="O18">
        <v>87366</v>
      </c>
      <c r="P18">
        <v>19.62</v>
      </c>
      <c r="Q18">
        <v>8.1999999999999993</v>
      </c>
      <c r="R18">
        <v>25.2</v>
      </c>
      <c r="S18">
        <v>7.8</v>
      </c>
      <c r="T18">
        <v>7.1</v>
      </c>
      <c r="U18">
        <v>15.17</v>
      </c>
      <c r="V18">
        <v>315.31</v>
      </c>
      <c r="W18">
        <v>0.38</v>
      </c>
      <c r="X18">
        <v>0.34</v>
      </c>
      <c r="Y18">
        <v>0.77</v>
      </c>
      <c r="Z18">
        <v>0.51</v>
      </c>
      <c r="AA18" t="str" cm="1">
        <f t="array" ref="AA18">_xlfn.IFS(Table1[[#This Row],[Risk Score]]&lt;14,"Low",Table1[[#This Row],[Risk Score]]&lt;17,"Medium",TRUE,"High")</f>
        <v>Medium</v>
      </c>
    </row>
    <row r="19" spans="1:27">
      <c r="A19">
        <v>6107</v>
      </c>
      <c r="B19" t="s">
        <v>44</v>
      </c>
      <c r="C19">
        <v>462308</v>
      </c>
      <c r="D19">
        <v>33442</v>
      </c>
      <c r="E19">
        <v>406</v>
      </c>
      <c r="F19">
        <v>7233.71</v>
      </c>
      <c r="G19">
        <v>87.82</v>
      </c>
      <c r="H19">
        <v>10</v>
      </c>
      <c r="I19">
        <v>11</v>
      </c>
      <c r="J19">
        <v>2</v>
      </c>
      <c r="K19">
        <v>252</v>
      </c>
      <c r="L19">
        <v>44</v>
      </c>
      <c r="M19">
        <v>2</v>
      </c>
      <c r="N19">
        <v>1.95</v>
      </c>
      <c r="O19">
        <v>62058</v>
      </c>
      <c r="P19">
        <v>11.39</v>
      </c>
      <c r="Q19">
        <v>13.1</v>
      </c>
      <c r="R19">
        <v>36</v>
      </c>
      <c r="S19">
        <v>17.100000000000001</v>
      </c>
      <c r="T19">
        <v>9.5</v>
      </c>
      <c r="U19">
        <v>15.89</v>
      </c>
      <c r="V19">
        <v>96.18</v>
      </c>
      <c r="W19">
        <v>0.97</v>
      </c>
      <c r="X19">
        <v>0.86</v>
      </c>
      <c r="Y19">
        <v>0.97</v>
      </c>
      <c r="Z19">
        <v>0.93</v>
      </c>
      <c r="AA19" t="str" cm="1">
        <f t="array" ref="AA19">_xlfn.IFS(Table1[[#This Row],[Risk Score]]&lt;14,"Low",Table1[[#This Row],[Risk Score]]&lt;17,"Medium",TRUE,"High")</f>
        <v>Medium</v>
      </c>
    </row>
    <row r="20" spans="1:27">
      <c r="A20">
        <v>6083</v>
      </c>
      <c r="B20" t="s">
        <v>45</v>
      </c>
      <c r="C20">
        <v>445298</v>
      </c>
      <c r="D20">
        <v>17390</v>
      </c>
      <c r="E20">
        <v>160</v>
      </c>
      <c r="F20">
        <v>3905.25</v>
      </c>
      <c r="G20">
        <v>35.93</v>
      </c>
      <c r="H20">
        <v>7</v>
      </c>
      <c r="I20">
        <v>11</v>
      </c>
      <c r="J20">
        <v>2</v>
      </c>
      <c r="K20">
        <v>211</v>
      </c>
      <c r="L20">
        <v>76</v>
      </c>
      <c r="M20">
        <v>2</v>
      </c>
      <c r="N20">
        <v>1.79</v>
      </c>
      <c r="O20">
        <v>86136</v>
      </c>
      <c r="P20">
        <v>15.29</v>
      </c>
      <c r="Q20">
        <v>9.8000000000000007</v>
      </c>
      <c r="R20">
        <v>30.1</v>
      </c>
      <c r="S20">
        <v>10.5</v>
      </c>
      <c r="T20">
        <v>11.7</v>
      </c>
      <c r="U20">
        <v>15.3</v>
      </c>
      <c r="V20">
        <v>162.72999999999999</v>
      </c>
      <c r="W20">
        <v>0.81</v>
      </c>
      <c r="X20">
        <v>0.33</v>
      </c>
      <c r="Y20">
        <v>0.91</v>
      </c>
      <c r="Z20">
        <v>0.84</v>
      </c>
      <c r="AA20" t="str" cm="1">
        <f t="array" ref="AA20">_xlfn.IFS(Table1[[#This Row],[Risk Score]]&lt;14,"Low",Table1[[#This Row],[Risk Score]]&lt;17,"Medium",TRUE,"High")</f>
        <v>Medium</v>
      </c>
    </row>
    <row r="21" spans="1:27">
      <c r="A21">
        <v>6095</v>
      </c>
      <c r="B21" t="s">
        <v>46</v>
      </c>
      <c r="C21">
        <v>443511</v>
      </c>
      <c r="D21">
        <v>19215</v>
      </c>
      <c r="E21">
        <v>98</v>
      </c>
      <c r="F21">
        <v>4332.47</v>
      </c>
      <c r="G21">
        <v>22.1</v>
      </c>
      <c r="H21">
        <v>7</v>
      </c>
      <c r="I21">
        <v>4</v>
      </c>
      <c r="J21">
        <v>1</v>
      </c>
      <c r="K21">
        <v>242</v>
      </c>
      <c r="L21">
        <v>81</v>
      </c>
      <c r="M21">
        <v>2</v>
      </c>
      <c r="N21">
        <v>2.37</v>
      </c>
      <c r="O21">
        <v>83678</v>
      </c>
      <c r="P21">
        <v>15.74</v>
      </c>
      <c r="Q21">
        <v>10</v>
      </c>
      <c r="R21">
        <v>30.1</v>
      </c>
      <c r="S21">
        <v>9.3000000000000007</v>
      </c>
      <c r="T21">
        <v>6.2</v>
      </c>
      <c r="U21">
        <v>14.86</v>
      </c>
      <c r="V21">
        <v>540.91999999999996</v>
      </c>
      <c r="W21">
        <v>0.45</v>
      </c>
      <c r="X21">
        <v>0.56000000000000005</v>
      </c>
      <c r="Y21">
        <v>0.94</v>
      </c>
      <c r="Z21">
        <v>0.63</v>
      </c>
      <c r="AA21" t="str" cm="1">
        <f t="array" ref="AA21">_xlfn.IFS(Table1[[#This Row],[Risk Score]]&lt;14,"Low",Table1[[#This Row],[Risk Score]]&lt;17,"Medium",TRUE,"High")</f>
        <v>Medium</v>
      </c>
    </row>
    <row r="22" spans="1:27">
      <c r="A22">
        <v>6053</v>
      </c>
      <c r="B22" t="s">
        <v>47</v>
      </c>
      <c r="C22">
        <v>434534</v>
      </c>
      <c r="D22">
        <v>27857</v>
      </c>
      <c r="E22">
        <v>193</v>
      </c>
      <c r="F22">
        <v>6410.78</v>
      </c>
      <c r="G22">
        <v>44.42</v>
      </c>
      <c r="H22">
        <v>6</v>
      </c>
      <c r="I22">
        <v>13</v>
      </c>
      <c r="J22">
        <v>3</v>
      </c>
      <c r="K22">
        <v>162</v>
      </c>
      <c r="L22">
        <v>66</v>
      </c>
      <c r="M22">
        <v>1</v>
      </c>
      <c r="N22">
        <v>1.84</v>
      </c>
      <c r="O22">
        <v>85031</v>
      </c>
      <c r="P22">
        <v>13.64</v>
      </c>
      <c r="Q22">
        <v>11.1</v>
      </c>
      <c r="R22">
        <v>31.7</v>
      </c>
      <c r="S22">
        <v>11.6</v>
      </c>
      <c r="T22">
        <v>11.5</v>
      </c>
      <c r="U22">
        <v>15.3</v>
      </c>
      <c r="V22">
        <v>131.94</v>
      </c>
      <c r="W22">
        <v>0.82</v>
      </c>
      <c r="X22">
        <v>0.54</v>
      </c>
      <c r="Y22">
        <v>0.97</v>
      </c>
      <c r="Z22">
        <v>0.85</v>
      </c>
      <c r="AA22" t="str" cm="1">
        <f t="array" ref="AA22">_xlfn.IFS(Table1[[#This Row],[Risk Score]]&lt;14,"Low",Table1[[#This Row],[Risk Score]]&lt;17,"Medium",TRUE,"High")</f>
        <v>Medium</v>
      </c>
    </row>
    <row r="23" spans="1:27">
      <c r="A23">
        <v>6061</v>
      </c>
      <c r="B23" t="s">
        <v>48</v>
      </c>
      <c r="C23">
        <v>385115</v>
      </c>
      <c r="D23">
        <v>13754</v>
      </c>
      <c r="E23">
        <v>125</v>
      </c>
      <c r="F23">
        <v>3571.4</v>
      </c>
      <c r="G23">
        <v>32.46</v>
      </c>
      <c r="H23">
        <v>3</v>
      </c>
      <c r="I23">
        <v>4</v>
      </c>
      <c r="J23">
        <v>1</v>
      </c>
      <c r="K23">
        <v>184</v>
      </c>
      <c r="L23">
        <v>124</v>
      </c>
      <c r="M23">
        <v>1</v>
      </c>
      <c r="N23">
        <v>3.35</v>
      </c>
      <c r="O23">
        <v>100662</v>
      </c>
      <c r="P23">
        <v>19.559999999999999</v>
      </c>
      <c r="Q23">
        <v>7.5</v>
      </c>
      <c r="R23">
        <v>28</v>
      </c>
      <c r="S23">
        <v>6.5</v>
      </c>
      <c r="T23">
        <v>4.5</v>
      </c>
      <c r="U23">
        <v>15</v>
      </c>
      <c r="V23">
        <v>278.45</v>
      </c>
      <c r="W23">
        <v>0.13</v>
      </c>
      <c r="X23">
        <v>0.28999999999999998</v>
      </c>
      <c r="Y23">
        <v>0.66</v>
      </c>
      <c r="Z23">
        <v>0.18</v>
      </c>
      <c r="AA23" t="str" cm="1">
        <f t="array" ref="AA23">_xlfn.IFS(Table1[[#This Row],[Risk Score]]&lt;14,"Low",Table1[[#This Row],[Risk Score]]&lt;17,"Medium",TRUE,"High")</f>
        <v>Medium</v>
      </c>
    </row>
    <row r="24" spans="1:27">
      <c r="A24">
        <v>6079</v>
      </c>
      <c r="B24" t="s">
        <v>49</v>
      </c>
      <c r="C24">
        <v>282481</v>
      </c>
      <c r="D24">
        <v>10489</v>
      </c>
      <c r="E24">
        <v>82</v>
      </c>
      <c r="F24">
        <v>3713.17</v>
      </c>
      <c r="G24">
        <v>29.03</v>
      </c>
      <c r="H24">
        <v>5</v>
      </c>
      <c r="I24">
        <v>5</v>
      </c>
      <c r="J24">
        <v>2</v>
      </c>
      <c r="K24">
        <v>534</v>
      </c>
      <c r="L24">
        <v>84</v>
      </c>
      <c r="M24">
        <v>2</v>
      </c>
      <c r="N24">
        <v>2.77</v>
      </c>
      <c r="O24">
        <v>79455</v>
      </c>
      <c r="P24">
        <v>20.07</v>
      </c>
      <c r="Q24">
        <v>8.4</v>
      </c>
      <c r="R24">
        <v>27.9</v>
      </c>
      <c r="S24">
        <v>10.6</v>
      </c>
      <c r="T24">
        <v>6.8</v>
      </c>
      <c r="U24">
        <v>16.05</v>
      </c>
      <c r="V24">
        <v>85.59</v>
      </c>
      <c r="W24">
        <v>0.35</v>
      </c>
      <c r="X24">
        <v>0.15</v>
      </c>
      <c r="Y24">
        <v>0.7</v>
      </c>
      <c r="Z24">
        <v>0.45</v>
      </c>
      <c r="AA24" t="str" cm="1">
        <f t="array" ref="AA24">_xlfn.IFS(Table1[[#This Row],[Risk Score]]&lt;14,"Low",Table1[[#This Row],[Risk Score]]&lt;17,"Medium",TRUE,"High")</f>
        <v>Medium</v>
      </c>
    </row>
    <row r="25" spans="1:27">
      <c r="A25">
        <v>6087</v>
      </c>
      <c r="B25" t="s">
        <v>50</v>
      </c>
      <c r="C25">
        <v>274856</v>
      </c>
      <c r="D25">
        <v>8748</v>
      </c>
      <c r="E25">
        <v>83</v>
      </c>
      <c r="F25">
        <v>3182.76</v>
      </c>
      <c r="G25">
        <v>30.2</v>
      </c>
      <c r="H25">
        <v>3</v>
      </c>
      <c r="I25">
        <v>9</v>
      </c>
      <c r="J25">
        <v>3</v>
      </c>
      <c r="K25">
        <v>133</v>
      </c>
      <c r="L25">
        <v>104</v>
      </c>
      <c r="M25">
        <v>1</v>
      </c>
      <c r="N25">
        <v>1.1299999999999999</v>
      </c>
      <c r="O25">
        <v>93015</v>
      </c>
      <c r="P25">
        <v>16.440000000000001</v>
      </c>
      <c r="Q25">
        <v>8.8000000000000007</v>
      </c>
      <c r="R25">
        <v>27.5</v>
      </c>
      <c r="S25">
        <v>10.7</v>
      </c>
      <c r="T25">
        <v>8</v>
      </c>
      <c r="U25">
        <v>14.77</v>
      </c>
      <c r="V25">
        <v>613.71</v>
      </c>
      <c r="W25">
        <v>0.52</v>
      </c>
      <c r="X25">
        <v>0.14000000000000001</v>
      </c>
      <c r="Y25">
        <v>0.82</v>
      </c>
      <c r="Z25">
        <v>0.61</v>
      </c>
      <c r="AA25" t="str" cm="1">
        <f t="array" ref="AA25">_xlfn.IFS(Table1[[#This Row],[Risk Score]]&lt;14,"Low",Table1[[#This Row],[Risk Score]]&lt;17,"Medium",TRUE,"High")</f>
        <v>Medium</v>
      </c>
    </row>
    <row r="26" spans="1:27">
      <c r="A26">
        <v>6047</v>
      </c>
      <c r="B26" t="s">
        <v>51</v>
      </c>
      <c r="C26">
        <v>271096</v>
      </c>
      <c r="D26">
        <v>19443</v>
      </c>
      <c r="E26">
        <v>260</v>
      </c>
      <c r="F26">
        <v>7172</v>
      </c>
      <c r="G26">
        <v>95.91</v>
      </c>
      <c r="H26">
        <v>6</v>
      </c>
      <c r="I26">
        <v>6</v>
      </c>
      <c r="J26">
        <v>2</v>
      </c>
      <c r="K26">
        <v>82</v>
      </c>
      <c r="L26">
        <v>44</v>
      </c>
      <c r="M26">
        <v>2</v>
      </c>
      <c r="N26">
        <v>2.04</v>
      </c>
      <c r="O26">
        <v>58998</v>
      </c>
      <c r="P26">
        <v>11.24</v>
      </c>
      <c r="Q26">
        <v>12.9</v>
      </c>
      <c r="R26">
        <v>38</v>
      </c>
      <c r="S26">
        <v>16.3</v>
      </c>
      <c r="T26">
        <v>10.5</v>
      </c>
      <c r="U26">
        <v>16.100000000000001</v>
      </c>
      <c r="V26">
        <v>141.21</v>
      </c>
      <c r="W26">
        <v>0.96</v>
      </c>
      <c r="X26">
        <v>0.9</v>
      </c>
      <c r="Y26">
        <v>0.97</v>
      </c>
      <c r="Z26">
        <v>0.97</v>
      </c>
      <c r="AA26" t="str" cm="1">
        <f t="array" ref="AA26">_xlfn.IFS(Table1[[#This Row],[Risk Score]]&lt;14,"Low",Table1[[#This Row],[Risk Score]]&lt;17,"Medium",TRUE,"High")</f>
        <v>Medium</v>
      </c>
    </row>
    <row r="27" spans="1:27">
      <c r="A27">
        <v>6041</v>
      </c>
      <c r="B27" t="s">
        <v>52</v>
      </c>
      <c r="C27">
        <v>259749</v>
      </c>
      <c r="D27">
        <v>9799</v>
      </c>
      <c r="E27">
        <v>139</v>
      </c>
      <c r="F27">
        <v>3772.49</v>
      </c>
      <c r="G27">
        <v>53.51</v>
      </c>
      <c r="H27">
        <v>4</v>
      </c>
      <c r="I27">
        <v>3</v>
      </c>
      <c r="J27">
        <v>1</v>
      </c>
      <c r="K27">
        <v>175</v>
      </c>
      <c r="L27">
        <v>147</v>
      </c>
      <c r="M27">
        <v>2</v>
      </c>
      <c r="N27">
        <v>2.42</v>
      </c>
      <c r="O27">
        <v>127601</v>
      </c>
      <c r="P27">
        <v>22.29</v>
      </c>
      <c r="Q27">
        <v>7.2</v>
      </c>
      <c r="R27">
        <v>23.3</v>
      </c>
      <c r="S27">
        <v>6</v>
      </c>
      <c r="T27">
        <v>4.2</v>
      </c>
      <c r="U27">
        <v>15.23</v>
      </c>
      <c r="V27">
        <v>498.52</v>
      </c>
      <c r="W27">
        <v>0.13</v>
      </c>
      <c r="X27">
        <v>0.36</v>
      </c>
      <c r="Y27">
        <v>0.67</v>
      </c>
      <c r="Z27">
        <v>0.33</v>
      </c>
      <c r="AA27" t="str" cm="1">
        <f t="array" ref="AA27">_xlfn.IFS(Table1[[#This Row],[Risk Score]]&lt;14,"Low",Table1[[#This Row],[Risk Score]]&lt;17,"Medium",TRUE,"High")</f>
        <v>Medium</v>
      </c>
    </row>
    <row r="28" spans="1:27">
      <c r="A28">
        <v>6007</v>
      </c>
      <c r="B28" t="s">
        <v>53</v>
      </c>
      <c r="C28">
        <v>228696</v>
      </c>
      <c r="D28">
        <v>7389</v>
      </c>
      <c r="E28">
        <v>96</v>
      </c>
      <c r="F28">
        <v>3230.93</v>
      </c>
      <c r="G28">
        <v>41.98</v>
      </c>
      <c r="H28">
        <v>6</v>
      </c>
      <c r="I28">
        <v>5</v>
      </c>
      <c r="J28">
        <v>2</v>
      </c>
      <c r="K28">
        <v>201</v>
      </c>
      <c r="L28">
        <v>62</v>
      </c>
      <c r="M28">
        <v>3</v>
      </c>
      <c r="N28">
        <v>2.94</v>
      </c>
      <c r="O28">
        <v>54718</v>
      </c>
      <c r="P28">
        <v>18.21</v>
      </c>
      <c r="Q28">
        <v>9.4</v>
      </c>
      <c r="R28">
        <v>30.5</v>
      </c>
      <c r="S28">
        <v>17.3</v>
      </c>
      <c r="T28">
        <v>7.2</v>
      </c>
      <c r="U28">
        <v>16.66</v>
      </c>
      <c r="V28">
        <v>136.47999999999999</v>
      </c>
      <c r="W28">
        <v>0.75</v>
      </c>
      <c r="X28">
        <v>0.55000000000000004</v>
      </c>
      <c r="Y28">
        <v>0.67</v>
      </c>
      <c r="Z28">
        <v>0.83</v>
      </c>
      <c r="AA28" t="str" cm="1">
        <f t="array" ref="AA28">_xlfn.IFS(Table1[[#This Row],[Risk Score]]&lt;14,"Low",Table1[[#This Row],[Risk Score]]&lt;17,"Medium",TRUE,"High")</f>
        <v>Medium</v>
      </c>
    </row>
    <row r="29" spans="1:27">
      <c r="A29">
        <v>6113</v>
      </c>
      <c r="B29" t="s">
        <v>54</v>
      </c>
      <c r="C29">
        <v>218477</v>
      </c>
      <c r="D29">
        <v>8237</v>
      </c>
      <c r="E29">
        <v>111</v>
      </c>
      <c r="F29">
        <v>3770.19</v>
      </c>
      <c r="G29">
        <v>50.81</v>
      </c>
      <c r="H29">
        <v>3</v>
      </c>
      <c r="I29">
        <v>1</v>
      </c>
      <c r="J29">
        <v>0</v>
      </c>
      <c r="K29">
        <v>71</v>
      </c>
      <c r="L29">
        <v>122</v>
      </c>
      <c r="M29">
        <v>1</v>
      </c>
      <c r="N29">
        <v>3.64</v>
      </c>
      <c r="O29">
        <v>80668</v>
      </c>
      <c r="P29">
        <v>12.49</v>
      </c>
      <c r="Q29">
        <v>9.8000000000000007</v>
      </c>
      <c r="R29">
        <v>30.6</v>
      </c>
      <c r="S29">
        <v>14.8</v>
      </c>
      <c r="T29">
        <v>5.9</v>
      </c>
      <c r="U29">
        <v>14.11</v>
      </c>
      <c r="V29">
        <v>215.6</v>
      </c>
      <c r="W29">
        <v>0.61</v>
      </c>
      <c r="X29">
        <v>0.17</v>
      </c>
      <c r="Y29">
        <v>0.89</v>
      </c>
      <c r="Z29">
        <v>0.73</v>
      </c>
      <c r="AA29" t="str" cm="1">
        <f t="array" ref="AA29">_xlfn.IFS(Table1[[#This Row],[Risk Score]]&lt;14,"Low",Table1[[#This Row],[Risk Score]]&lt;17,"Medium",TRUE,"High")</f>
        <v>Medium</v>
      </c>
    </row>
    <row r="30" spans="1:27">
      <c r="A30">
        <v>6017</v>
      </c>
      <c r="B30" t="s">
        <v>55</v>
      </c>
      <c r="C30">
        <v>188679</v>
      </c>
      <c r="D30">
        <v>5588</v>
      </c>
      <c r="E30">
        <v>22</v>
      </c>
      <c r="F30">
        <v>2961.64</v>
      </c>
      <c r="G30">
        <v>11.66</v>
      </c>
      <c r="H30">
        <v>2</v>
      </c>
      <c r="I30">
        <v>3</v>
      </c>
      <c r="J30">
        <v>2</v>
      </c>
      <c r="K30">
        <v>112</v>
      </c>
      <c r="L30">
        <v>79</v>
      </c>
      <c r="M30">
        <v>1</v>
      </c>
      <c r="N30">
        <v>4.53</v>
      </c>
      <c r="O30">
        <v>87792</v>
      </c>
      <c r="P30">
        <v>21.23</v>
      </c>
      <c r="Q30">
        <v>7.7</v>
      </c>
      <c r="R30">
        <v>28.2</v>
      </c>
      <c r="S30">
        <v>8.4</v>
      </c>
      <c r="T30">
        <v>5.4</v>
      </c>
      <c r="U30">
        <v>16.03</v>
      </c>
      <c r="V30">
        <v>111.45</v>
      </c>
      <c r="W30">
        <v>0.2</v>
      </c>
      <c r="X30">
        <v>0.22</v>
      </c>
      <c r="Y30">
        <v>0.59</v>
      </c>
      <c r="Z30">
        <v>0.23</v>
      </c>
      <c r="AA30" t="str" cm="1">
        <f t="array" ref="AA30">_xlfn.IFS(Table1[[#This Row],[Risk Score]]&lt;14,"Low",Table1[[#This Row],[Risk Score]]&lt;17,"Medium",TRUE,"High")</f>
        <v>Medium</v>
      </c>
    </row>
    <row r="31" spans="1:27">
      <c r="A31">
        <v>6025</v>
      </c>
      <c r="B31" t="s">
        <v>56</v>
      </c>
      <c r="C31">
        <v>181649</v>
      </c>
      <c r="D31">
        <v>22263</v>
      </c>
      <c r="E31">
        <v>419</v>
      </c>
      <c r="F31">
        <v>12256.05</v>
      </c>
      <c r="G31">
        <v>230.66</v>
      </c>
      <c r="H31">
        <v>6</v>
      </c>
      <c r="I31">
        <v>1</v>
      </c>
      <c r="J31">
        <v>1</v>
      </c>
      <c r="K31">
        <v>149</v>
      </c>
      <c r="L31">
        <v>26</v>
      </c>
      <c r="M31">
        <v>3</v>
      </c>
      <c r="N31">
        <v>9.2799999999999994</v>
      </c>
      <c r="O31">
        <v>47599</v>
      </c>
      <c r="P31">
        <v>12.91</v>
      </c>
      <c r="Q31">
        <v>14.4</v>
      </c>
      <c r="R31">
        <v>36.200000000000003</v>
      </c>
      <c r="S31">
        <v>18.100000000000001</v>
      </c>
      <c r="T31">
        <v>8.9</v>
      </c>
      <c r="U31">
        <v>16.89</v>
      </c>
      <c r="V31">
        <v>43.25</v>
      </c>
      <c r="W31">
        <v>0.97</v>
      </c>
      <c r="X31">
        <v>0.94</v>
      </c>
      <c r="Y31">
        <v>0.99</v>
      </c>
      <c r="Z31">
        <v>0.99</v>
      </c>
      <c r="AA31" t="str" cm="1">
        <f t="array" ref="AA31">_xlfn.IFS(Table1[[#This Row],[Risk Score]]&lt;14,"Low",Table1[[#This Row],[Risk Score]]&lt;17,"Medium",TRUE,"High")</f>
        <v>Medium</v>
      </c>
    </row>
    <row r="32" spans="1:27">
      <c r="A32">
        <v>6089</v>
      </c>
      <c r="B32" t="s">
        <v>57</v>
      </c>
      <c r="C32">
        <v>179384</v>
      </c>
      <c r="D32">
        <v>8059</v>
      </c>
      <c r="E32">
        <v>78</v>
      </c>
      <c r="F32">
        <v>4492.6000000000004</v>
      </c>
      <c r="G32">
        <v>43.48</v>
      </c>
      <c r="H32">
        <v>8</v>
      </c>
      <c r="I32">
        <v>7</v>
      </c>
      <c r="J32">
        <v>4</v>
      </c>
      <c r="K32">
        <v>317</v>
      </c>
      <c r="L32">
        <v>76</v>
      </c>
      <c r="M32">
        <v>4</v>
      </c>
      <c r="N32">
        <v>2.4300000000000002</v>
      </c>
      <c r="O32">
        <v>59108</v>
      </c>
      <c r="P32">
        <v>20.6</v>
      </c>
      <c r="Q32">
        <v>9</v>
      </c>
      <c r="R32">
        <v>31.1</v>
      </c>
      <c r="S32">
        <v>13.9</v>
      </c>
      <c r="T32">
        <v>7</v>
      </c>
      <c r="U32">
        <v>17.25</v>
      </c>
      <c r="V32">
        <v>47.48</v>
      </c>
      <c r="W32">
        <v>0.59</v>
      </c>
      <c r="X32">
        <v>0.79</v>
      </c>
      <c r="Y32">
        <v>0.56000000000000005</v>
      </c>
      <c r="Z32">
        <v>0.75</v>
      </c>
      <c r="AA32" t="str" cm="1">
        <f t="array" ref="AA32">_xlfn.IFS(Table1[[#This Row],[Risk Score]]&lt;14,"Low",Table1[[#This Row],[Risk Score]]&lt;17,"Medium",TRUE,"High")</f>
        <v>High</v>
      </c>
    </row>
    <row r="33" spans="1:27">
      <c r="A33">
        <v>6039</v>
      </c>
      <c r="B33" t="s">
        <v>58</v>
      </c>
      <c r="C33">
        <v>155423</v>
      </c>
      <c r="D33">
        <v>10490</v>
      </c>
      <c r="E33">
        <v>117</v>
      </c>
      <c r="F33">
        <v>6749.32</v>
      </c>
      <c r="G33">
        <v>75.28</v>
      </c>
      <c r="H33">
        <v>1</v>
      </c>
      <c r="I33">
        <v>4</v>
      </c>
      <c r="J33">
        <v>3</v>
      </c>
      <c r="K33">
        <v>199</v>
      </c>
      <c r="L33">
        <v>44</v>
      </c>
      <c r="M33">
        <v>1</v>
      </c>
      <c r="N33">
        <v>2.09</v>
      </c>
      <c r="O33">
        <v>68744</v>
      </c>
      <c r="P33">
        <v>14.02</v>
      </c>
      <c r="Q33">
        <v>12.3</v>
      </c>
      <c r="R33">
        <v>35.9</v>
      </c>
      <c r="S33">
        <v>14.1</v>
      </c>
      <c r="T33">
        <v>10.199999999999999</v>
      </c>
      <c r="U33">
        <v>16.5</v>
      </c>
      <c r="V33">
        <v>72.97</v>
      </c>
      <c r="W33">
        <v>0.96</v>
      </c>
      <c r="X33">
        <v>0.83</v>
      </c>
      <c r="Y33">
        <v>0.95</v>
      </c>
      <c r="Z33">
        <v>0.93</v>
      </c>
      <c r="AA33" t="str" cm="1">
        <f t="array" ref="AA33">_xlfn.IFS(Table1[[#This Row],[Risk Score]]&lt;14,"Low",Table1[[#This Row],[Risk Score]]&lt;17,"Medium",TRUE,"High")</f>
        <v>Medium</v>
      </c>
    </row>
    <row r="34" spans="1:27">
      <c r="A34">
        <v>6031</v>
      </c>
      <c r="B34" t="s">
        <v>59</v>
      </c>
      <c r="C34">
        <v>149665</v>
      </c>
      <c r="D34">
        <v>16113</v>
      </c>
      <c r="E34">
        <v>110</v>
      </c>
      <c r="F34">
        <v>10766.04</v>
      </c>
      <c r="G34">
        <v>73.5</v>
      </c>
      <c r="H34">
        <v>2</v>
      </c>
      <c r="I34">
        <v>1</v>
      </c>
      <c r="J34">
        <v>1</v>
      </c>
      <c r="K34">
        <v>130</v>
      </c>
      <c r="L34">
        <v>38</v>
      </c>
      <c r="M34">
        <v>1</v>
      </c>
      <c r="N34">
        <v>6.73</v>
      </c>
      <c r="O34">
        <v>60319</v>
      </c>
      <c r="P34">
        <v>10.3</v>
      </c>
      <c r="Q34">
        <v>12.3</v>
      </c>
      <c r="R34">
        <v>35.1</v>
      </c>
      <c r="S34">
        <v>14.5</v>
      </c>
      <c r="T34">
        <v>8.9</v>
      </c>
      <c r="U34">
        <v>14.8</v>
      </c>
      <c r="V34">
        <v>108.62</v>
      </c>
      <c r="W34">
        <v>0.92</v>
      </c>
      <c r="X34">
        <v>0.83</v>
      </c>
      <c r="Y34">
        <v>0.96</v>
      </c>
      <c r="Z34">
        <v>0.95</v>
      </c>
      <c r="AA34" t="str" cm="1">
        <f t="array" ref="AA34">_xlfn.IFS(Table1[[#This Row],[Risk Score]]&lt;14,"Low",Table1[[#This Row],[Risk Score]]&lt;17,"Medium",TRUE,"High")</f>
        <v>Medium</v>
      </c>
    </row>
    <row r="35" spans="1:27">
      <c r="A35">
        <v>6055</v>
      </c>
      <c r="B35" t="s">
        <v>60</v>
      </c>
      <c r="C35">
        <v>139878</v>
      </c>
      <c r="D35">
        <v>5741</v>
      </c>
      <c r="E35">
        <v>28</v>
      </c>
      <c r="F35">
        <v>4104.29</v>
      </c>
      <c r="G35">
        <v>20.02</v>
      </c>
      <c r="H35">
        <v>2</v>
      </c>
      <c r="I35">
        <v>1</v>
      </c>
      <c r="J35">
        <v>1</v>
      </c>
      <c r="K35">
        <v>1158</v>
      </c>
      <c r="L35">
        <v>99</v>
      </c>
      <c r="M35">
        <v>1</v>
      </c>
      <c r="N35">
        <v>10.33</v>
      </c>
      <c r="O35">
        <v>92149</v>
      </c>
      <c r="P35">
        <v>19.2</v>
      </c>
      <c r="Q35">
        <v>8.6</v>
      </c>
      <c r="R35">
        <v>26.9</v>
      </c>
      <c r="S35">
        <v>7.9</v>
      </c>
      <c r="T35">
        <v>8.6</v>
      </c>
      <c r="U35">
        <v>15.51</v>
      </c>
      <c r="V35">
        <v>185.19</v>
      </c>
      <c r="W35">
        <v>0.41</v>
      </c>
      <c r="X35">
        <v>0.38</v>
      </c>
      <c r="Y35">
        <v>0.87</v>
      </c>
      <c r="Z35">
        <v>0.62</v>
      </c>
      <c r="AA35" t="str" cm="1">
        <f t="array" ref="AA35">_xlfn.IFS(Table1[[#This Row],[Risk Score]]&lt;14,"Low",Table1[[#This Row],[Risk Score]]&lt;17,"Medium",TRUE,"High")</f>
        <v>Medium</v>
      </c>
    </row>
    <row r="36" spans="1:27">
      <c r="A36">
        <v>6023</v>
      </c>
      <c r="B36" t="s">
        <v>61</v>
      </c>
      <c r="C36">
        <v>136507</v>
      </c>
      <c r="D36">
        <v>1763</v>
      </c>
      <c r="E36">
        <v>22</v>
      </c>
      <c r="F36">
        <v>1291.51</v>
      </c>
      <c r="G36">
        <v>16.12</v>
      </c>
      <c r="H36">
        <v>8</v>
      </c>
      <c r="I36">
        <v>0</v>
      </c>
      <c r="J36">
        <v>0</v>
      </c>
      <c r="K36">
        <v>195</v>
      </c>
      <c r="L36">
        <v>59</v>
      </c>
      <c r="M36">
        <v>6</v>
      </c>
      <c r="N36">
        <v>67.94</v>
      </c>
      <c r="O36">
        <v>56071</v>
      </c>
      <c r="P36">
        <v>17.84</v>
      </c>
      <c r="Q36">
        <v>9.6</v>
      </c>
      <c r="R36">
        <v>31.1</v>
      </c>
      <c r="S36">
        <v>15.8</v>
      </c>
      <c r="T36">
        <v>7.7</v>
      </c>
      <c r="U36">
        <v>16.55</v>
      </c>
      <c r="V36">
        <v>38.14</v>
      </c>
      <c r="W36">
        <v>0.83</v>
      </c>
      <c r="X36">
        <v>0.52</v>
      </c>
      <c r="Y36">
        <v>0.64</v>
      </c>
      <c r="Z36">
        <v>0.83</v>
      </c>
      <c r="AA36" t="str" cm="1">
        <f t="array" ref="AA36">_xlfn.IFS(Table1[[#This Row],[Risk Score]]&lt;14,"Low",Table1[[#This Row],[Risk Score]]&lt;17,"Medium",TRUE,"High")</f>
        <v>Medium</v>
      </c>
    </row>
    <row r="37" spans="1:27">
      <c r="A37">
        <v>6057</v>
      </c>
      <c r="B37" t="s">
        <v>62</v>
      </c>
      <c r="C37">
        <v>99367</v>
      </c>
      <c r="D37">
        <v>2608</v>
      </c>
      <c r="E37">
        <v>50</v>
      </c>
      <c r="F37">
        <v>2624.61</v>
      </c>
      <c r="G37">
        <v>50.32</v>
      </c>
      <c r="H37">
        <v>3</v>
      </c>
      <c r="I37">
        <v>2</v>
      </c>
      <c r="J37">
        <v>2</v>
      </c>
      <c r="K37">
        <v>171</v>
      </c>
      <c r="L37">
        <v>74</v>
      </c>
      <c r="M37">
        <v>3</v>
      </c>
      <c r="N37">
        <v>4.62</v>
      </c>
      <c r="O37">
        <v>74158</v>
      </c>
      <c r="P37">
        <v>27.41</v>
      </c>
      <c r="Q37">
        <v>7.6</v>
      </c>
      <c r="R37">
        <v>28.2</v>
      </c>
      <c r="S37">
        <v>9.1999999999999993</v>
      </c>
      <c r="T37">
        <v>6.2</v>
      </c>
      <c r="U37">
        <v>18.63</v>
      </c>
      <c r="V37">
        <v>103.8</v>
      </c>
      <c r="W37">
        <v>0.25</v>
      </c>
      <c r="X37">
        <v>0.31</v>
      </c>
      <c r="Y37">
        <v>0.46</v>
      </c>
      <c r="Z37">
        <v>0.22</v>
      </c>
      <c r="AA37" t="str" cm="1">
        <f t="array" ref="AA37">_xlfn.IFS(Table1[[#This Row],[Risk Score]]&lt;14,"Low",Table1[[#This Row],[Risk Score]]&lt;17,"Medium",TRUE,"High")</f>
        <v>High</v>
      </c>
    </row>
    <row r="38" spans="1:27">
      <c r="A38">
        <v>6101</v>
      </c>
      <c r="B38" t="s">
        <v>63</v>
      </c>
      <c r="C38">
        <v>96204</v>
      </c>
      <c r="D38">
        <v>6503</v>
      </c>
      <c r="E38">
        <v>52</v>
      </c>
      <c r="F38">
        <v>6759.59</v>
      </c>
      <c r="G38">
        <v>54.05</v>
      </c>
      <c r="H38">
        <v>2</v>
      </c>
      <c r="I38">
        <v>3</v>
      </c>
      <c r="J38">
        <v>3</v>
      </c>
      <c r="K38">
        <v>15</v>
      </c>
      <c r="L38">
        <v>77</v>
      </c>
      <c r="M38">
        <v>2</v>
      </c>
      <c r="N38">
        <v>1.67</v>
      </c>
      <c r="O38">
        <v>65791</v>
      </c>
      <c r="P38">
        <v>15.36</v>
      </c>
      <c r="Q38">
        <v>10.5</v>
      </c>
      <c r="R38">
        <v>29.9</v>
      </c>
      <c r="S38">
        <v>11.5</v>
      </c>
      <c r="T38">
        <v>9</v>
      </c>
      <c r="U38">
        <v>15.3</v>
      </c>
      <c r="V38">
        <v>159.81</v>
      </c>
      <c r="W38">
        <v>0.83</v>
      </c>
      <c r="X38">
        <v>0.87</v>
      </c>
      <c r="Y38">
        <v>0.9</v>
      </c>
      <c r="Z38">
        <v>0.86</v>
      </c>
      <c r="AA38" t="str" cm="1">
        <f t="array" ref="AA38">_xlfn.IFS(Table1[[#This Row],[Risk Score]]&lt;14,"Low",Table1[[#This Row],[Risk Score]]&lt;17,"Medium",TRUE,"High")</f>
        <v>Medium</v>
      </c>
    </row>
    <row r="39" spans="1:27">
      <c r="A39">
        <v>6045</v>
      </c>
      <c r="B39" t="s">
        <v>64</v>
      </c>
      <c r="C39">
        <v>87576</v>
      </c>
      <c r="D39">
        <v>2557</v>
      </c>
      <c r="E39">
        <v>26</v>
      </c>
      <c r="F39">
        <v>2919.75</v>
      </c>
      <c r="G39">
        <v>29.69</v>
      </c>
      <c r="H39">
        <v>6</v>
      </c>
      <c r="I39">
        <v>0</v>
      </c>
      <c r="J39">
        <v>0</v>
      </c>
      <c r="K39">
        <v>116</v>
      </c>
      <c r="L39">
        <v>88</v>
      </c>
      <c r="M39">
        <v>7</v>
      </c>
      <c r="N39">
        <v>58.3</v>
      </c>
      <c r="O39">
        <v>53176</v>
      </c>
      <c r="P39">
        <v>22.08</v>
      </c>
      <c r="Q39">
        <v>9.6999999999999993</v>
      </c>
      <c r="R39">
        <v>31.4</v>
      </c>
      <c r="S39">
        <v>14.3</v>
      </c>
      <c r="T39">
        <v>11.2</v>
      </c>
      <c r="U39">
        <v>18.52</v>
      </c>
      <c r="V39">
        <v>24.84</v>
      </c>
      <c r="W39">
        <v>0.88</v>
      </c>
      <c r="X39">
        <v>0.97</v>
      </c>
      <c r="Y39">
        <v>0.75</v>
      </c>
      <c r="Z39">
        <v>0.96</v>
      </c>
      <c r="AA39" t="str" cm="1">
        <f t="array" ref="AA39">_xlfn.IFS(Table1[[#This Row],[Risk Score]]&lt;14,"Low",Table1[[#This Row],[Risk Score]]&lt;17,"Medium",TRUE,"High")</f>
        <v>High</v>
      </c>
    </row>
    <row r="40" spans="1:27">
      <c r="A40">
        <v>6115</v>
      </c>
      <c r="B40" t="s">
        <v>65</v>
      </c>
      <c r="C40">
        <v>76578</v>
      </c>
      <c r="D40">
        <v>3896</v>
      </c>
      <c r="E40">
        <v>19</v>
      </c>
      <c r="F40">
        <v>5087.62</v>
      </c>
      <c r="G40">
        <v>24.81</v>
      </c>
      <c r="H40">
        <v>1</v>
      </c>
      <c r="I40">
        <v>1</v>
      </c>
      <c r="J40">
        <v>1</v>
      </c>
      <c r="K40">
        <v>273</v>
      </c>
      <c r="L40">
        <v>19</v>
      </c>
      <c r="M40">
        <v>1</v>
      </c>
      <c r="N40">
        <v>4.59</v>
      </c>
      <c r="O40">
        <v>56278</v>
      </c>
      <c r="P40">
        <v>12.37</v>
      </c>
      <c r="Q40">
        <v>10.4</v>
      </c>
      <c r="R40">
        <v>34</v>
      </c>
      <c r="S40">
        <v>16.3</v>
      </c>
      <c r="T40">
        <v>8.3000000000000007</v>
      </c>
      <c r="U40">
        <v>15.11</v>
      </c>
      <c r="V40">
        <v>122.66</v>
      </c>
      <c r="W40">
        <v>0.84</v>
      </c>
      <c r="X40">
        <v>0.89</v>
      </c>
      <c r="Y40">
        <v>0.85</v>
      </c>
      <c r="Z40">
        <v>0.91</v>
      </c>
      <c r="AA40" t="str" cm="1">
        <f t="array" ref="AA40">_xlfn.IFS(Table1[[#This Row],[Risk Score]]&lt;14,"Low",Table1[[#This Row],[Risk Score]]&lt;17,"Medium",TRUE,"High")</f>
        <v>Medium</v>
      </c>
    </row>
    <row r="41" spans="1:27">
      <c r="A41">
        <v>6033</v>
      </c>
      <c r="B41" t="s">
        <v>66</v>
      </c>
      <c r="C41">
        <v>64111</v>
      </c>
      <c r="D41">
        <v>1815</v>
      </c>
      <c r="E41">
        <v>23</v>
      </c>
      <c r="F41">
        <v>2831.03</v>
      </c>
      <c r="G41">
        <v>35.880000000000003</v>
      </c>
      <c r="H41">
        <v>4</v>
      </c>
      <c r="I41">
        <v>0</v>
      </c>
      <c r="J41">
        <v>0</v>
      </c>
      <c r="K41">
        <v>78</v>
      </c>
      <c r="L41">
        <v>45</v>
      </c>
      <c r="M41">
        <v>6</v>
      </c>
      <c r="N41">
        <v>30.16</v>
      </c>
      <c r="O41">
        <v>52345</v>
      </c>
      <c r="P41">
        <v>22.85</v>
      </c>
      <c r="Q41">
        <v>10.1</v>
      </c>
      <c r="R41">
        <v>32.1</v>
      </c>
      <c r="S41">
        <v>15.9</v>
      </c>
      <c r="T41">
        <v>7.7</v>
      </c>
      <c r="U41">
        <v>18.84</v>
      </c>
      <c r="V41">
        <v>51.15</v>
      </c>
      <c r="W41">
        <v>0.88</v>
      </c>
      <c r="X41">
        <v>0.93</v>
      </c>
      <c r="Y41">
        <v>0.69</v>
      </c>
      <c r="Z41">
        <v>0.9</v>
      </c>
      <c r="AA41" t="str" cm="1">
        <f t="array" ref="AA41">_xlfn.IFS(Table1[[#This Row],[Risk Score]]&lt;14,"Low",Table1[[#This Row],[Risk Score]]&lt;17,"Medium",TRUE,"High")</f>
        <v>High</v>
      </c>
    </row>
    <row r="42" spans="1:27">
      <c r="A42">
        <v>6103</v>
      </c>
      <c r="B42" t="s">
        <v>67</v>
      </c>
      <c r="C42">
        <v>63847</v>
      </c>
      <c r="D42">
        <v>2966</v>
      </c>
      <c r="E42">
        <v>36</v>
      </c>
      <c r="F42">
        <v>4645.4799999999996</v>
      </c>
      <c r="G42">
        <v>56.38</v>
      </c>
      <c r="H42">
        <v>2</v>
      </c>
      <c r="I42">
        <v>2</v>
      </c>
      <c r="J42">
        <v>3</v>
      </c>
      <c r="K42">
        <v>96</v>
      </c>
      <c r="L42">
        <v>48</v>
      </c>
      <c r="M42">
        <v>3</v>
      </c>
      <c r="N42">
        <v>8.5</v>
      </c>
      <c r="O42">
        <v>61571</v>
      </c>
      <c r="P42">
        <v>19.8</v>
      </c>
      <c r="Q42">
        <v>10.4</v>
      </c>
      <c r="R42">
        <v>34.299999999999997</v>
      </c>
      <c r="S42">
        <v>13.3</v>
      </c>
      <c r="T42">
        <v>8.1</v>
      </c>
      <c r="U42">
        <v>17.8</v>
      </c>
      <c r="V42">
        <v>21.76</v>
      </c>
      <c r="W42">
        <v>0.85</v>
      </c>
      <c r="X42">
        <v>0.98</v>
      </c>
      <c r="Y42">
        <v>0.71</v>
      </c>
      <c r="Z42">
        <v>0.93</v>
      </c>
      <c r="AA42" t="str" cm="1">
        <f t="array" ref="AA42">_xlfn.IFS(Table1[[#This Row],[Risk Score]]&lt;14,"Low",Table1[[#This Row],[Risk Score]]&lt;17,"Medium",TRUE,"High")</f>
        <v>High</v>
      </c>
    </row>
    <row r="43" spans="1:27">
      <c r="A43">
        <v>6069</v>
      </c>
      <c r="B43" t="s">
        <v>68</v>
      </c>
      <c r="C43">
        <v>60164</v>
      </c>
      <c r="D43">
        <v>3672</v>
      </c>
      <c r="E43">
        <v>29</v>
      </c>
      <c r="F43">
        <v>6103.32</v>
      </c>
      <c r="G43">
        <v>48.2</v>
      </c>
      <c r="H43">
        <v>0</v>
      </c>
      <c r="I43">
        <v>1</v>
      </c>
      <c r="J43">
        <v>2</v>
      </c>
      <c r="K43">
        <v>283</v>
      </c>
      <c r="L43">
        <v>30</v>
      </c>
      <c r="M43">
        <v>0</v>
      </c>
      <c r="N43">
        <v>1.38</v>
      </c>
      <c r="O43">
        <v>91185</v>
      </c>
      <c r="P43">
        <v>12.69</v>
      </c>
      <c r="Q43">
        <v>10.4</v>
      </c>
      <c r="R43">
        <v>31.8</v>
      </c>
      <c r="S43">
        <v>7.9</v>
      </c>
      <c r="T43">
        <v>8.3000000000000007</v>
      </c>
      <c r="U43">
        <v>14.07</v>
      </c>
      <c r="V43">
        <v>44.32</v>
      </c>
      <c r="W43">
        <v>0.69</v>
      </c>
      <c r="X43">
        <v>0.59</v>
      </c>
      <c r="Y43">
        <v>0.95</v>
      </c>
      <c r="Z43">
        <v>0.56999999999999995</v>
      </c>
      <c r="AA43" t="str" cm="1">
        <f t="array" ref="AA43">_xlfn.IFS(Table1[[#This Row],[Risk Score]]&lt;14,"Low",Table1[[#This Row],[Risk Score]]&lt;17,"Medium",TRUE,"High")</f>
        <v>Medium</v>
      </c>
    </row>
    <row r="44" spans="1:27">
      <c r="A44">
        <v>6109</v>
      </c>
      <c r="B44" t="s">
        <v>69</v>
      </c>
      <c r="C44">
        <v>53976</v>
      </c>
      <c r="D44">
        <v>2961</v>
      </c>
      <c r="E44">
        <v>21</v>
      </c>
      <c r="F44">
        <v>5485.77</v>
      </c>
      <c r="G44">
        <v>38.909999999999997</v>
      </c>
      <c r="H44">
        <v>1</v>
      </c>
      <c r="I44">
        <v>0</v>
      </c>
      <c r="J44">
        <v>0</v>
      </c>
      <c r="K44">
        <v>279</v>
      </c>
      <c r="L44">
        <v>61</v>
      </c>
      <c r="M44">
        <v>2</v>
      </c>
      <c r="N44">
        <v>40.76</v>
      </c>
      <c r="O44">
        <v>63336</v>
      </c>
      <c r="P44">
        <v>26.06</v>
      </c>
      <c r="Q44">
        <v>8.6</v>
      </c>
      <c r="R44">
        <v>28.6</v>
      </c>
      <c r="S44">
        <v>12.1</v>
      </c>
      <c r="T44">
        <v>6.4</v>
      </c>
      <c r="U44">
        <v>18.71</v>
      </c>
      <c r="V44">
        <v>24.38</v>
      </c>
      <c r="W44">
        <v>0.54</v>
      </c>
      <c r="X44">
        <v>0.43</v>
      </c>
      <c r="Y44">
        <v>0.55000000000000004</v>
      </c>
      <c r="Z44">
        <v>0.6</v>
      </c>
      <c r="AA44" t="str" cm="1">
        <f t="array" ref="AA44">_xlfn.IFS(Table1[[#This Row],[Risk Score]]&lt;14,"Low",Table1[[#This Row],[Risk Score]]&lt;17,"Medium",TRUE,"High")</f>
        <v>High</v>
      </c>
    </row>
    <row r="45" spans="1:27">
      <c r="A45">
        <v>6009</v>
      </c>
      <c r="B45" t="s">
        <v>70</v>
      </c>
      <c r="C45">
        <v>45681</v>
      </c>
      <c r="D45">
        <v>1129</v>
      </c>
      <c r="E45">
        <v>22</v>
      </c>
      <c r="F45">
        <v>2471.4899999999998</v>
      </c>
      <c r="G45">
        <v>48.16</v>
      </c>
      <c r="H45">
        <v>1</v>
      </c>
      <c r="I45">
        <v>0</v>
      </c>
      <c r="J45">
        <v>0</v>
      </c>
      <c r="K45">
        <v>54</v>
      </c>
      <c r="L45">
        <v>43</v>
      </c>
      <c r="M45">
        <v>2</v>
      </c>
      <c r="N45">
        <v>35.31</v>
      </c>
      <c r="O45">
        <v>66329</v>
      </c>
      <c r="P45">
        <v>28.02</v>
      </c>
      <c r="Q45">
        <v>8.6999999999999993</v>
      </c>
      <c r="R45">
        <v>29.7</v>
      </c>
      <c r="S45">
        <v>11.6</v>
      </c>
      <c r="T45">
        <v>7.2</v>
      </c>
      <c r="U45">
        <v>19.72</v>
      </c>
      <c r="V45">
        <v>44.93</v>
      </c>
      <c r="W45">
        <v>0.49</v>
      </c>
      <c r="X45">
        <v>0.55000000000000004</v>
      </c>
      <c r="Y45">
        <v>0.54</v>
      </c>
      <c r="Z45">
        <v>0.32</v>
      </c>
      <c r="AA45" t="str" cm="1">
        <f t="array" ref="AA45">_xlfn.IFS(Table1[[#This Row],[Risk Score]]&lt;14,"Low",Table1[[#This Row],[Risk Score]]&lt;17,"Medium",TRUE,"High")</f>
        <v>High</v>
      </c>
    </row>
    <row r="46" spans="1:27">
      <c r="A46">
        <v>6093</v>
      </c>
      <c r="B46" t="s">
        <v>71</v>
      </c>
      <c r="C46">
        <v>43622</v>
      </c>
      <c r="D46">
        <v>1174</v>
      </c>
      <c r="E46">
        <v>11</v>
      </c>
      <c r="F46">
        <v>2691.3</v>
      </c>
      <c r="G46">
        <v>25.22</v>
      </c>
      <c r="H46">
        <v>4</v>
      </c>
      <c r="I46">
        <v>5</v>
      </c>
      <c r="J46">
        <v>11</v>
      </c>
      <c r="K46">
        <v>134</v>
      </c>
      <c r="L46">
        <v>81</v>
      </c>
      <c r="M46">
        <v>9</v>
      </c>
      <c r="N46">
        <v>8.4</v>
      </c>
      <c r="O46">
        <v>49441</v>
      </c>
      <c r="P46">
        <v>25.24</v>
      </c>
      <c r="Q46">
        <v>9.6</v>
      </c>
      <c r="R46">
        <v>31.6</v>
      </c>
      <c r="S46">
        <v>14.3</v>
      </c>
      <c r="T46">
        <v>7.6</v>
      </c>
      <c r="U46">
        <v>19.43</v>
      </c>
      <c r="V46">
        <v>6.93</v>
      </c>
      <c r="W46">
        <v>0.74</v>
      </c>
      <c r="X46">
        <v>0.71</v>
      </c>
      <c r="Y46">
        <v>0.62</v>
      </c>
      <c r="Z46">
        <v>0.75</v>
      </c>
      <c r="AA46" t="str" cm="1">
        <f t="array" ref="AA46">_xlfn.IFS(Table1[[#This Row],[Risk Score]]&lt;14,"Low",Table1[[#This Row],[Risk Score]]&lt;17,"Medium",TRUE,"High")</f>
        <v>High</v>
      </c>
    </row>
    <row r="47" spans="1:27">
      <c r="A47">
        <v>6005</v>
      </c>
      <c r="B47" t="s">
        <v>72</v>
      </c>
      <c r="C47">
        <v>38529</v>
      </c>
      <c r="D47">
        <v>2416</v>
      </c>
      <c r="E47">
        <v>24</v>
      </c>
      <c r="F47">
        <v>6270.6</v>
      </c>
      <c r="G47">
        <v>62.29</v>
      </c>
      <c r="H47">
        <v>1</v>
      </c>
      <c r="I47">
        <v>0</v>
      </c>
      <c r="J47">
        <v>0</v>
      </c>
      <c r="K47">
        <v>130</v>
      </c>
      <c r="L47">
        <v>57</v>
      </c>
      <c r="M47">
        <v>3</v>
      </c>
      <c r="N47">
        <v>23.18</v>
      </c>
      <c r="O47">
        <v>68141</v>
      </c>
      <c r="P47">
        <v>27</v>
      </c>
      <c r="Q47">
        <v>8.5</v>
      </c>
      <c r="R47">
        <v>30</v>
      </c>
      <c r="S47">
        <v>10.3</v>
      </c>
      <c r="T47">
        <v>6.4</v>
      </c>
      <c r="U47">
        <v>19.100000000000001</v>
      </c>
      <c r="V47">
        <v>65.63</v>
      </c>
      <c r="W47">
        <v>0.37</v>
      </c>
      <c r="X47">
        <v>0.43</v>
      </c>
      <c r="Y47">
        <v>0.6</v>
      </c>
      <c r="Z47">
        <v>0.59</v>
      </c>
      <c r="AA47" t="str" cm="1">
        <f t="array" ref="AA47">_xlfn.IFS(Table1[[#This Row],[Risk Score]]&lt;14,"Low",Table1[[#This Row],[Risk Score]]&lt;17,"Medium",TRUE,"High")</f>
        <v>High</v>
      </c>
    </row>
    <row r="48" spans="1:27">
      <c r="A48">
        <v>6035</v>
      </c>
      <c r="B48" t="s">
        <v>73</v>
      </c>
      <c r="C48">
        <v>30920</v>
      </c>
      <c r="D48">
        <v>4689</v>
      </c>
      <c r="E48">
        <v>9</v>
      </c>
      <c r="F48">
        <v>15164.94</v>
      </c>
      <c r="G48">
        <v>29.11</v>
      </c>
      <c r="H48">
        <v>2</v>
      </c>
      <c r="I48">
        <v>1</v>
      </c>
      <c r="J48">
        <v>3</v>
      </c>
      <c r="K48">
        <v>83</v>
      </c>
      <c r="L48">
        <v>27</v>
      </c>
      <c r="M48">
        <v>7</v>
      </c>
      <c r="N48">
        <v>7.2</v>
      </c>
      <c r="O48">
        <v>63803</v>
      </c>
      <c r="P48">
        <v>14.45</v>
      </c>
      <c r="Q48">
        <v>10.1</v>
      </c>
      <c r="R48">
        <v>31.8</v>
      </c>
      <c r="S48">
        <v>15.5</v>
      </c>
      <c r="T48">
        <v>4.5</v>
      </c>
      <c r="U48">
        <v>15.07</v>
      </c>
      <c r="V48">
        <v>6.74</v>
      </c>
      <c r="W48">
        <v>0.61</v>
      </c>
      <c r="X48">
        <v>0.27</v>
      </c>
      <c r="Y48">
        <v>0.74</v>
      </c>
      <c r="Z48">
        <v>0.64</v>
      </c>
      <c r="AA48" t="str" cm="1">
        <f t="array" ref="AA48">_xlfn.IFS(Table1[[#This Row],[Risk Score]]&lt;14,"Low",Table1[[#This Row],[Risk Score]]&lt;17,"Medium",TRUE,"High")</f>
        <v>Medium</v>
      </c>
    </row>
    <row r="49" spans="1:27">
      <c r="A49">
        <v>6021</v>
      </c>
      <c r="B49" t="s">
        <v>74</v>
      </c>
      <c r="C49">
        <v>27926</v>
      </c>
      <c r="D49">
        <v>1457</v>
      </c>
      <c r="E49">
        <v>14</v>
      </c>
      <c r="F49">
        <v>5217.3599999999997</v>
      </c>
      <c r="G49">
        <v>50.13</v>
      </c>
      <c r="H49">
        <v>2</v>
      </c>
      <c r="I49">
        <v>0</v>
      </c>
      <c r="J49">
        <v>0</v>
      </c>
      <c r="K49">
        <v>53</v>
      </c>
      <c r="L49">
        <v>14</v>
      </c>
      <c r="M49">
        <v>7</v>
      </c>
      <c r="N49">
        <v>18.46</v>
      </c>
      <c r="O49">
        <v>57779</v>
      </c>
      <c r="P49">
        <v>16.37</v>
      </c>
      <c r="Q49">
        <v>10.8</v>
      </c>
      <c r="R49">
        <v>33.6</v>
      </c>
      <c r="S49">
        <v>12.4</v>
      </c>
      <c r="T49">
        <v>12.2</v>
      </c>
      <c r="U49">
        <v>16.75</v>
      </c>
      <c r="V49">
        <v>21.36</v>
      </c>
      <c r="W49">
        <v>0.86</v>
      </c>
      <c r="X49">
        <v>0.94</v>
      </c>
      <c r="Y49">
        <v>0.87</v>
      </c>
      <c r="Z49">
        <v>0.89</v>
      </c>
      <c r="AA49" t="str" cm="1">
        <f t="array" ref="AA49">_xlfn.IFS(Table1[[#This Row],[Risk Score]]&lt;14,"Low",Table1[[#This Row],[Risk Score]]&lt;17,"Medium",TRUE,"High")</f>
        <v>Medium</v>
      </c>
    </row>
    <row r="50" spans="1:27">
      <c r="A50">
        <v>6015</v>
      </c>
      <c r="B50" t="s">
        <v>75</v>
      </c>
      <c r="C50">
        <v>27351</v>
      </c>
      <c r="D50">
        <v>759</v>
      </c>
      <c r="E50">
        <v>2</v>
      </c>
      <c r="F50">
        <v>2775.04</v>
      </c>
      <c r="G50">
        <v>7.31</v>
      </c>
      <c r="H50">
        <v>1</v>
      </c>
      <c r="I50">
        <v>1</v>
      </c>
      <c r="J50">
        <v>4</v>
      </c>
      <c r="K50">
        <v>175</v>
      </c>
      <c r="L50">
        <v>64</v>
      </c>
      <c r="M50">
        <v>4</v>
      </c>
      <c r="N50">
        <v>1.73</v>
      </c>
      <c r="O50">
        <v>47442</v>
      </c>
      <c r="P50">
        <v>17.78</v>
      </c>
      <c r="Q50">
        <v>10.6</v>
      </c>
      <c r="R50">
        <v>32.9</v>
      </c>
      <c r="S50">
        <v>18.5</v>
      </c>
      <c r="T50">
        <v>7.1</v>
      </c>
      <c r="U50">
        <v>17.260000000000002</v>
      </c>
      <c r="V50">
        <v>27.52</v>
      </c>
      <c r="W50">
        <v>0.81</v>
      </c>
      <c r="X50">
        <v>0.78</v>
      </c>
      <c r="Y50">
        <v>0.78</v>
      </c>
      <c r="Z50">
        <v>0.95</v>
      </c>
      <c r="AA50" t="str" cm="1">
        <f t="array" ref="AA50">_xlfn.IFS(Table1[[#This Row],[Risk Score]]&lt;14,"Low",Table1[[#This Row],[Risk Score]]&lt;17,"Medium",TRUE,"High")</f>
        <v>High</v>
      </c>
    </row>
    <row r="51" spans="1:27">
      <c r="A51">
        <v>6011</v>
      </c>
      <c r="B51" t="s">
        <v>76</v>
      </c>
      <c r="C51">
        <v>21579</v>
      </c>
      <c r="D51">
        <v>1350</v>
      </c>
      <c r="E51">
        <v>8</v>
      </c>
      <c r="F51">
        <v>6256.08</v>
      </c>
      <c r="G51">
        <v>37.07</v>
      </c>
      <c r="H51">
        <v>2</v>
      </c>
      <c r="I51">
        <v>1</v>
      </c>
      <c r="J51">
        <v>5</v>
      </c>
      <c r="K51">
        <v>0</v>
      </c>
      <c r="L51">
        <v>28</v>
      </c>
      <c r="M51">
        <v>9</v>
      </c>
      <c r="N51">
        <v>8.25</v>
      </c>
      <c r="O51">
        <v>59422</v>
      </c>
      <c r="P51">
        <v>14.62</v>
      </c>
      <c r="Q51">
        <v>11.4</v>
      </c>
      <c r="R51">
        <v>34.4</v>
      </c>
      <c r="S51">
        <v>10.3</v>
      </c>
      <c r="T51">
        <v>13</v>
      </c>
      <c r="U51">
        <v>16.190000000000001</v>
      </c>
      <c r="V51">
        <v>18.68</v>
      </c>
      <c r="W51">
        <v>0.74</v>
      </c>
      <c r="X51">
        <v>0.91</v>
      </c>
      <c r="Y51">
        <v>0.95</v>
      </c>
      <c r="Z51">
        <v>0.76</v>
      </c>
      <c r="AA51" t="str" cm="1">
        <f t="array" ref="AA51">_xlfn.IFS(Table1[[#This Row],[Risk Score]]&lt;14,"Low",Table1[[#This Row],[Risk Score]]&lt;17,"Medium",TRUE,"High")</f>
        <v>Medium</v>
      </c>
    </row>
    <row r="52" spans="1:27">
      <c r="A52">
        <v>6063</v>
      </c>
      <c r="B52" t="s">
        <v>77</v>
      </c>
      <c r="C52">
        <v>18660</v>
      </c>
      <c r="D52">
        <v>397</v>
      </c>
      <c r="E52">
        <v>1</v>
      </c>
      <c r="F52">
        <v>2127.5500000000002</v>
      </c>
      <c r="G52">
        <v>5.36</v>
      </c>
      <c r="H52">
        <v>7</v>
      </c>
      <c r="I52">
        <v>1</v>
      </c>
      <c r="J52">
        <v>5</v>
      </c>
      <c r="K52">
        <v>664</v>
      </c>
      <c r="L52">
        <v>90</v>
      </c>
      <c r="M52">
        <v>37</v>
      </c>
      <c r="N52">
        <v>30.42</v>
      </c>
      <c r="O52">
        <v>58489</v>
      </c>
      <c r="P52">
        <v>27.69</v>
      </c>
      <c r="Q52">
        <v>8.3000000000000007</v>
      </c>
      <c r="R52">
        <v>30.2</v>
      </c>
      <c r="S52">
        <v>13.5</v>
      </c>
      <c r="T52">
        <v>6.2</v>
      </c>
      <c r="U52">
        <v>19.649999999999999</v>
      </c>
      <c r="V52">
        <v>7.38</v>
      </c>
      <c r="W52">
        <v>0.28999999999999998</v>
      </c>
      <c r="X52">
        <v>0.45</v>
      </c>
      <c r="Y52">
        <v>0.51</v>
      </c>
      <c r="Z52">
        <v>0.4</v>
      </c>
      <c r="AA52" t="str" cm="1">
        <f t="array" ref="AA52">_xlfn.IFS(Table1[[#This Row],[Risk Score]]&lt;14,"Low",Table1[[#This Row],[Risk Score]]&lt;17,"Medium",TRUE,"High")</f>
        <v>High</v>
      </c>
    </row>
    <row r="53" spans="1:27">
      <c r="A53">
        <v>6027</v>
      </c>
      <c r="B53" t="s">
        <v>78</v>
      </c>
      <c r="C53">
        <v>17868</v>
      </c>
      <c r="D53">
        <v>570</v>
      </c>
      <c r="E53">
        <v>20</v>
      </c>
      <c r="F53">
        <v>3190.06</v>
      </c>
      <c r="G53">
        <v>111.93</v>
      </c>
      <c r="H53">
        <v>4</v>
      </c>
      <c r="I53">
        <v>0</v>
      </c>
      <c r="J53">
        <v>0</v>
      </c>
      <c r="K53">
        <v>161</v>
      </c>
      <c r="L53">
        <v>83</v>
      </c>
      <c r="M53">
        <v>22</v>
      </c>
      <c r="N53">
        <v>67.489999999999995</v>
      </c>
      <c r="O53">
        <v>55981</v>
      </c>
      <c r="P53">
        <v>23.27</v>
      </c>
      <c r="Q53">
        <v>8.9</v>
      </c>
      <c r="R53">
        <v>29.7</v>
      </c>
      <c r="S53">
        <v>10.9</v>
      </c>
      <c r="T53">
        <v>10.199999999999999</v>
      </c>
      <c r="U53">
        <v>18.100000000000001</v>
      </c>
      <c r="V53">
        <v>1.76</v>
      </c>
      <c r="W53">
        <v>0.28000000000000003</v>
      </c>
      <c r="X53">
        <v>0.52</v>
      </c>
      <c r="Y53">
        <v>0.78</v>
      </c>
      <c r="Z53">
        <v>0.53</v>
      </c>
      <c r="AA53" t="str" cm="1">
        <f t="array" ref="AA53">_xlfn.IFS(Table1[[#This Row],[Risk Score]]&lt;14,"Low",Table1[[#This Row],[Risk Score]]&lt;17,"Medium",TRUE,"High")</f>
        <v>High</v>
      </c>
    </row>
    <row r="54" spans="1:27">
      <c r="A54">
        <v>6043</v>
      </c>
      <c r="B54" t="s">
        <v>79</v>
      </c>
      <c r="C54">
        <v>17414</v>
      </c>
      <c r="D54">
        <v>251</v>
      </c>
      <c r="E54">
        <v>4</v>
      </c>
      <c r="F54">
        <v>1441.37</v>
      </c>
      <c r="G54">
        <v>22.97</v>
      </c>
      <c r="H54">
        <v>2</v>
      </c>
      <c r="I54">
        <v>0</v>
      </c>
      <c r="J54">
        <v>0</v>
      </c>
      <c r="K54">
        <v>192</v>
      </c>
      <c r="L54">
        <v>35</v>
      </c>
      <c r="M54">
        <v>12</v>
      </c>
      <c r="N54">
        <v>22.15</v>
      </c>
      <c r="O54">
        <v>56887</v>
      </c>
      <c r="P54">
        <v>28.18</v>
      </c>
      <c r="Q54">
        <v>9</v>
      </c>
      <c r="R54">
        <v>31</v>
      </c>
      <c r="S54">
        <v>13.3</v>
      </c>
      <c r="T54">
        <v>8.1</v>
      </c>
      <c r="U54">
        <v>20.309999999999999</v>
      </c>
      <c r="V54">
        <v>11.95</v>
      </c>
      <c r="W54">
        <v>0.69</v>
      </c>
      <c r="X54">
        <v>0.91</v>
      </c>
      <c r="Y54">
        <v>0.56999999999999995</v>
      </c>
      <c r="Z54">
        <v>0.83</v>
      </c>
      <c r="AA54" t="str" cm="1">
        <f t="array" ref="AA54">_xlfn.IFS(Table1[[#This Row],[Risk Score]]&lt;14,"Low",Table1[[#This Row],[Risk Score]]&lt;17,"Medium",TRUE,"High")</f>
        <v>High</v>
      </c>
    </row>
    <row r="55" spans="1:27">
      <c r="A55">
        <v>6051</v>
      </c>
      <c r="B55" t="s">
        <v>80</v>
      </c>
      <c r="C55">
        <v>14354</v>
      </c>
      <c r="D55">
        <v>866</v>
      </c>
      <c r="E55">
        <v>4</v>
      </c>
      <c r="F55">
        <v>6033.16</v>
      </c>
      <c r="G55">
        <v>27.87</v>
      </c>
      <c r="H55">
        <v>2</v>
      </c>
      <c r="I55">
        <v>0</v>
      </c>
      <c r="J55">
        <v>0</v>
      </c>
      <c r="K55">
        <v>117</v>
      </c>
      <c r="L55">
        <v>69</v>
      </c>
      <c r="M55">
        <v>14</v>
      </c>
      <c r="N55">
        <v>45.27</v>
      </c>
      <c r="O55">
        <v>73204</v>
      </c>
      <c r="P55">
        <v>15.27</v>
      </c>
      <c r="Q55">
        <v>8.6</v>
      </c>
      <c r="R55">
        <v>29.6</v>
      </c>
      <c r="S55">
        <v>9</v>
      </c>
      <c r="T55">
        <v>11</v>
      </c>
      <c r="U55">
        <v>14.7</v>
      </c>
      <c r="V55">
        <v>4.72</v>
      </c>
      <c r="W55">
        <v>0.47</v>
      </c>
      <c r="X55">
        <v>0.04</v>
      </c>
      <c r="Y55">
        <v>0.74</v>
      </c>
      <c r="Z55">
        <v>0.42</v>
      </c>
      <c r="AA55" t="str" cm="1">
        <f t="array" ref="AA55">_xlfn.IFS(Table1[[#This Row],[Risk Score]]&lt;14,"Low",Table1[[#This Row],[Risk Score]]&lt;17,"Medium",TRUE,"High")</f>
        <v>Medium</v>
      </c>
    </row>
    <row r="56" spans="1:27">
      <c r="A56">
        <v>6105</v>
      </c>
      <c r="B56" t="s">
        <v>81</v>
      </c>
      <c r="C56">
        <v>12726</v>
      </c>
      <c r="D56">
        <v>250</v>
      </c>
      <c r="E56">
        <v>4</v>
      </c>
      <c r="F56">
        <v>1964.48</v>
      </c>
      <c r="G56">
        <v>31.43</v>
      </c>
      <c r="H56">
        <v>2</v>
      </c>
      <c r="I56">
        <v>0</v>
      </c>
      <c r="J56">
        <v>0</v>
      </c>
      <c r="K56">
        <v>385</v>
      </c>
      <c r="L56">
        <v>33</v>
      </c>
      <c r="M56">
        <v>16</v>
      </c>
      <c r="N56">
        <v>35.72</v>
      </c>
      <c r="O56">
        <v>45113</v>
      </c>
      <c r="P56">
        <v>27.96</v>
      </c>
      <c r="Q56">
        <v>10.1</v>
      </c>
      <c r="R56">
        <v>32.799999999999997</v>
      </c>
      <c r="S56">
        <v>18</v>
      </c>
      <c r="T56">
        <v>7.7</v>
      </c>
      <c r="U56">
        <v>21.2</v>
      </c>
      <c r="V56">
        <v>3.94</v>
      </c>
      <c r="W56">
        <v>0.84</v>
      </c>
      <c r="X56">
        <v>0.86</v>
      </c>
      <c r="Y56">
        <v>0.54</v>
      </c>
      <c r="Z56">
        <v>0.86</v>
      </c>
      <c r="AA56" t="str" cm="1">
        <f t="array" ref="AA56">_xlfn.IFS(Table1[[#This Row],[Risk Score]]&lt;14,"Low",Table1[[#This Row],[Risk Score]]&lt;17,"Medium",TRUE,"High")</f>
        <v>High</v>
      </c>
    </row>
    <row r="57" spans="1:27">
      <c r="A57">
        <v>6049</v>
      </c>
      <c r="B57" t="s">
        <v>82</v>
      </c>
      <c r="C57">
        <v>8876</v>
      </c>
      <c r="D57">
        <v>321</v>
      </c>
      <c r="E57">
        <v>1</v>
      </c>
      <c r="F57">
        <v>3616.49</v>
      </c>
      <c r="G57">
        <v>11.27</v>
      </c>
      <c r="H57">
        <v>4</v>
      </c>
      <c r="I57">
        <v>0</v>
      </c>
      <c r="J57">
        <v>0</v>
      </c>
      <c r="K57">
        <v>1290</v>
      </c>
      <c r="L57">
        <v>57</v>
      </c>
      <c r="M57">
        <v>45</v>
      </c>
      <c r="N57">
        <v>73.05</v>
      </c>
      <c r="O57">
        <v>46838</v>
      </c>
      <c r="P57">
        <v>27.41</v>
      </c>
      <c r="Q57">
        <v>9.6999999999999993</v>
      </c>
      <c r="R57">
        <v>32.4</v>
      </c>
      <c r="S57">
        <v>17.899999999999999</v>
      </c>
      <c r="T57">
        <v>8.6999999999999993</v>
      </c>
      <c r="U57">
        <v>20.91</v>
      </c>
      <c r="V57">
        <v>2.2400000000000002</v>
      </c>
      <c r="W57">
        <v>0.75</v>
      </c>
      <c r="X57">
        <v>0.82</v>
      </c>
      <c r="Y57">
        <v>0.59</v>
      </c>
      <c r="Z57">
        <v>0.77</v>
      </c>
      <c r="AA57" t="str" cm="1">
        <f t="array" ref="AA57">_xlfn.IFS(Table1[[#This Row],[Risk Score]]&lt;14,"Low",Table1[[#This Row],[Risk Score]]&lt;17,"Medium",TRUE,"High")</f>
        <v>High</v>
      </c>
    </row>
    <row r="58" spans="1:27">
      <c r="A58">
        <v>6091</v>
      </c>
      <c r="B58" t="s">
        <v>83</v>
      </c>
      <c r="C58">
        <v>3002</v>
      </c>
      <c r="D58">
        <v>23</v>
      </c>
      <c r="E58">
        <v>0</v>
      </c>
      <c r="F58">
        <v>766.16</v>
      </c>
      <c r="G58">
        <v>0</v>
      </c>
      <c r="H58">
        <v>0</v>
      </c>
      <c r="I58">
        <v>0</v>
      </c>
      <c r="J58">
        <v>0</v>
      </c>
      <c r="K58">
        <v>0</v>
      </c>
      <c r="L58">
        <v>34</v>
      </c>
      <c r="M58">
        <v>0</v>
      </c>
      <c r="N58">
        <v>22.64</v>
      </c>
      <c r="O58">
        <v>59422</v>
      </c>
      <c r="P58">
        <v>28.19</v>
      </c>
      <c r="Q58">
        <v>8.5</v>
      </c>
      <c r="R58">
        <v>30.4</v>
      </c>
      <c r="S58">
        <v>11.5</v>
      </c>
      <c r="T58">
        <v>7.8</v>
      </c>
      <c r="U58">
        <v>19.89</v>
      </c>
      <c r="V58">
        <v>3.04</v>
      </c>
      <c r="W58">
        <v>0.53</v>
      </c>
      <c r="X58">
        <v>0.35</v>
      </c>
      <c r="Y58">
        <v>0.37</v>
      </c>
      <c r="Z58">
        <v>0.28000000000000003</v>
      </c>
      <c r="AA58" t="str" cm="1">
        <f t="array" ref="AA58">_xlfn.IFS(Table1[[#This Row],[Risk Score]]&lt;14,"Low",Table1[[#This Row],[Risk Score]]&lt;17,"Medium",TRUE,"High")</f>
        <v>High</v>
      </c>
    </row>
    <row r="59" spans="1:27">
      <c r="A59">
        <v>6003</v>
      </c>
      <c r="B59" t="s">
        <v>84</v>
      </c>
      <c r="C59">
        <v>1111</v>
      </c>
      <c r="D59">
        <v>64</v>
      </c>
      <c r="E59">
        <v>0</v>
      </c>
      <c r="F59">
        <v>5760.58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15.34</v>
      </c>
      <c r="O59">
        <v>64542</v>
      </c>
      <c r="P59">
        <v>29.08</v>
      </c>
      <c r="Q59">
        <v>8.8000000000000007</v>
      </c>
      <c r="R59">
        <v>29.5</v>
      </c>
      <c r="S59">
        <v>14.3</v>
      </c>
      <c r="T59">
        <v>11</v>
      </c>
      <c r="U59">
        <v>20.79</v>
      </c>
      <c r="V59">
        <v>1.57</v>
      </c>
      <c r="W59">
        <v>0.25</v>
      </c>
      <c r="X59">
        <v>0.63</v>
      </c>
      <c r="Y59">
        <v>0.87</v>
      </c>
      <c r="Z59">
        <v>0.5</v>
      </c>
      <c r="AA59" t="str" cm="1">
        <f t="array" ref="AA59">_xlfn.IFS(Table1[[#This Row],[Risk Score]]&lt;14,"Low",Table1[[#This Row],[Risk Score]]&lt;17,"Medium",TRUE,"High")</f>
        <v>High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8D3A-03C9-46F9-8F45-FA61B4279E8D}">
  <dimension ref="A3:F61"/>
  <sheetViews>
    <sheetView topLeftCell="A6" workbookViewId="0">
      <selection activeCell="I58" sqref="I58"/>
    </sheetView>
  </sheetViews>
  <sheetFormatPr defaultRowHeight="15"/>
  <cols>
    <col min="1" max="1" width="21.85546875" bestFit="1" customWidth="1"/>
    <col min="2" max="2" width="16" bestFit="1" customWidth="1"/>
    <col min="3" max="3" width="15.28515625" bestFit="1" customWidth="1"/>
    <col min="4" max="4" width="16.42578125" bestFit="1" customWidth="1"/>
    <col min="5" max="5" width="15.140625" bestFit="1" customWidth="1"/>
    <col min="6" max="6" width="16.42578125" bestFit="1" customWidth="1"/>
    <col min="7" max="7" width="5.42578125" bestFit="1" customWidth="1"/>
    <col min="8" max="8" width="21.85546875" bestFit="1" customWidth="1"/>
    <col min="9" max="10" width="15.28515625" bestFit="1" customWidth="1"/>
    <col min="11" max="12" width="16.42578125" bestFit="1" customWidth="1"/>
    <col min="13" max="22" width="5.42578125" bestFit="1" customWidth="1"/>
    <col min="23" max="23" width="6.5703125" bestFit="1" customWidth="1"/>
    <col min="24" max="25" width="5.42578125" bestFit="1" customWidth="1"/>
    <col min="26" max="27" width="6.5703125" bestFit="1" customWidth="1"/>
    <col min="28" max="28" width="5.42578125" bestFit="1" customWidth="1"/>
    <col min="29" max="30" width="6.5703125" bestFit="1" customWidth="1"/>
    <col min="31" max="31" width="5.42578125" bestFit="1" customWidth="1"/>
    <col min="32" max="48" width="6.5703125" bestFit="1" customWidth="1"/>
    <col min="49" max="53" width="7.7109375" bestFit="1" customWidth="1"/>
    <col min="54" max="54" width="11.7109375" bestFit="1" customWidth="1"/>
    <col min="55" max="55" width="10.5703125" bestFit="1" customWidth="1"/>
    <col min="56" max="56" width="7.28515625" bestFit="1" customWidth="1"/>
    <col min="57" max="57" width="10.5703125" bestFit="1" customWidth="1"/>
    <col min="58" max="58" width="7.28515625" bestFit="1" customWidth="1"/>
    <col min="59" max="59" width="10.5703125" bestFit="1" customWidth="1"/>
    <col min="60" max="60" width="7.28515625" bestFit="1" customWidth="1"/>
    <col min="61" max="61" width="10.5703125" bestFit="1" customWidth="1"/>
    <col min="62" max="62" width="7.28515625" bestFit="1" customWidth="1"/>
    <col min="63" max="63" width="10.5703125" bestFit="1" customWidth="1"/>
    <col min="64" max="64" width="8.42578125" bestFit="1" customWidth="1"/>
    <col min="65" max="65" width="11.5703125" bestFit="1" customWidth="1"/>
    <col min="66" max="66" width="8.42578125" bestFit="1" customWidth="1"/>
    <col min="67" max="67" width="11.5703125" bestFit="1" customWidth="1"/>
    <col min="68" max="68" width="8.42578125" bestFit="1" customWidth="1"/>
    <col min="69" max="69" width="11.5703125" bestFit="1" customWidth="1"/>
    <col min="70" max="70" width="8.42578125" bestFit="1" customWidth="1"/>
    <col min="71" max="71" width="11.5703125" bestFit="1" customWidth="1"/>
    <col min="72" max="72" width="8.42578125" bestFit="1" customWidth="1"/>
    <col min="73" max="73" width="11.5703125" bestFit="1" customWidth="1"/>
    <col min="74" max="74" width="8.42578125" bestFit="1" customWidth="1"/>
    <col min="75" max="75" width="11.5703125" bestFit="1" customWidth="1"/>
    <col min="76" max="76" width="8.42578125" bestFit="1" customWidth="1"/>
    <col min="77" max="77" width="11.5703125" bestFit="1" customWidth="1"/>
    <col min="78" max="78" width="8.42578125" bestFit="1" customWidth="1"/>
    <col min="79" max="79" width="11.5703125" bestFit="1" customWidth="1"/>
    <col min="80" max="80" width="8.42578125" bestFit="1" customWidth="1"/>
    <col min="81" max="81" width="11.5703125" bestFit="1" customWidth="1"/>
    <col min="82" max="82" width="8.42578125" bestFit="1" customWidth="1"/>
    <col min="83" max="83" width="11.5703125" bestFit="1" customWidth="1"/>
    <col min="84" max="84" width="8.42578125" bestFit="1" customWidth="1"/>
    <col min="85" max="85" width="11.5703125" bestFit="1" customWidth="1"/>
    <col min="86" max="86" width="8.42578125" bestFit="1" customWidth="1"/>
    <col min="87" max="87" width="11.5703125" bestFit="1" customWidth="1"/>
    <col min="88" max="88" width="8.42578125" bestFit="1" customWidth="1"/>
    <col min="89" max="89" width="11.5703125" bestFit="1" customWidth="1"/>
    <col min="90" max="90" width="8.42578125" bestFit="1" customWidth="1"/>
    <col min="91" max="91" width="11.5703125" bestFit="1" customWidth="1"/>
    <col min="92" max="92" width="8.42578125" bestFit="1" customWidth="1"/>
    <col min="93" max="93" width="11.5703125" bestFit="1" customWidth="1"/>
    <col min="94" max="94" width="8.42578125" bestFit="1" customWidth="1"/>
    <col min="95" max="95" width="11.5703125" bestFit="1" customWidth="1"/>
    <col min="96" max="96" width="8.42578125" bestFit="1" customWidth="1"/>
    <col min="97" max="97" width="11.5703125" bestFit="1" customWidth="1"/>
    <col min="98" max="98" width="8.42578125" bestFit="1" customWidth="1"/>
    <col min="99" max="99" width="11.5703125" bestFit="1" customWidth="1"/>
    <col min="100" max="100" width="8.42578125" bestFit="1" customWidth="1"/>
    <col min="101" max="101" width="11.5703125" bestFit="1" customWidth="1"/>
    <col min="102" max="102" width="8.42578125" bestFit="1" customWidth="1"/>
    <col min="103" max="103" width="11.5703125" bestFit="1" customWidth="1"/>
    <col min="104" max="104" width="8.42578125" bestFit="1" customWidth="1"/>
    <col min="105" max="105" width="11.5703125" bestFit="1" customWidth="1"/>
    <col min="106" max="106" width="8.42578125" bestFit="1" customWidth="1"/>
    <col min="107" max="107" width="11.5703125" bestFit="1" customWidth="1"/>
    <col min="108" max="108" width="9.5703125" bestFit="1" customWidth="1"/>
    <col min="109" max="109" width="12.7109375" bestFit="1" customWidth="1"/>
    <col min="110" max="110" width="9.5703125" bestFit="1" customWidth="1"/>
    <col min="111" max="111" width="12.7109375" bestFit="1" customWidth="1"/>
    <col min="112" max="112" width="9.5703125" bestFit="1" customWidth="1"/>
    <col min="113" max="113" width="12.7109375" bestFit="1" customWidth="1"/>
    <col min="114" max="114" width="9.5703125" bestFit="1" customWidth="1"/>
    <col min="115" max="115" width="12.7109375" bestFit="1" customWidth="1"/>
    <col min="116" max="116" width="9.5703125" bestFit="1" customWidth="1"/>
    <col min="117" max="117" width="12.7109375" bestFit="1" customWidth="1"/>
    <col min="118" max="118" width="11.7109375" bestFit="1" customWidth="1"/>
    <col min="119" max="119" width="19.42578125" bestFit="1" customWidth="1"/>
    <col min="120" max="120" width="23.140625" bestFit="1" customWidth="1"/>
    <col min="121" max="121" width="24.42578125" bestFit="1" customWidth="1"/>
    <col min="122" max="122" width="18.140625" bestFit="1" customWidth="1"/>
    <col min="123" max="123" width="19.42578125" bestFit="1" customWidth="1"/>
    <col min="124" max="124" width="23.140625" bestFit="1" customWidth="1"/>
    <col min="125" max="125" width="24.42578125" bestFit="1" customWidth="1"/>
    <col min="126" max="126" width="18.140625" bestFit="1" customWidth="1"/>
    <col min="127" max="127" width="19.42578125" bestFit="1" customWidth="1"/>
    <col min="128" max="128" width="24.140625" bestFit="1" customWidth="1"/>
    <col min="129" max="129" width="25.42578125" bestFit="1" customWidth="1"/>
    <col min="130" max="130" width="18.140625" bestFit="1" customWidth="1"/>
    <col min="131" max="131" width="19.42578125" bestFit="1" customWidth="1"/>
    <col min="132" max="132" width="24.140625" bestFit="1" customWidth="1"/>
    <col min="133" max="133" width="25.42578125" bestFit="1" customWidth="1"/>
    <col min="134" max="134" width="18.140625" bestFit="1" customWidth="1"/>
    <col min="135" max="135" width="19.42578125" bestFit="1" customWidth="1"/>
    <col min="136" max="136" width="24.140625" bestFit="1" customWidth="1"/>
    <col min="137" max="137" width="25.42578125" bestFit="1" customWidth="1"/>
    <col min="138" max="138" width="18.140625" bestFit="1" customWidth="1"/>
    <col min="139" max="139" width="19.42578125" bestFit="1" customWidth="1"/>
    <col min="140" max="140" width="24.140625" bestFit="1" customWidth="1"/>
    <col min="141" max="141" width="25.42578125" bestFit="1" customWidth="1"/>
    <col min="142" max="142" width="18.140625" bestFit="1" customWidth="1"/>
    <col min="143" max="143" width="19.42578125" bestFit="1" customWidth="1"/>
    <col min="144" max="144" width="24.140625" bestFit="1" customWidth="1"/>
    <col min="145" max="145" width="25.42578125" bestFit="1" customWidth="1"/>
    <col min="146" max="146" width="18.140625" bestFit="1" customWidth="1"/>
    <col min="147" max="147" width="19.42578125" bestFit="1" customWidth="1"/>
    <col min="148" max="148" width="24.140625" bestFit="1" customWidth="1"/>
    <col min="149" max="149" width="25.42578125" bestFit="1" customWidth="1"/>
    <col min="150" max="150" width="18.140625" bestFit="1" customWidth="1"/>
    <col min="151" max="151" width="19.42578125" bestFit="1" customWidth="1"/>
    <col min="152" max="152" width="24.140625" bestFit="1" customWidth="1"/>
    <col min="153" max="153" width="25.42578125" bestFit="1" customWidth="1"/>
    <col min="154" max="154" width="18.140625" bestFit="1" customWidth="1"/>
    <col min="155" max="155" width="19.42578125" bestFit="1" customWidth="1"/>
    <col min="156" max="156" width="24.140625" bestFit="1" customWidth="1"/>
    <col min="157" max="157" width="25.42578125" bestFit="1" customWidth="1"/>
    <col min="158" max="158" width="18.140625" bestFit="1" customWidth="1"/>
    <col min="159" max="159" width="19.42578125" bestFit="1" customWidth="1"/>
    <col min="160" max="160" width="24.140625" bestFit="1" customWidth="1"/>
    <col min="161" max="161" width="25.42578125" bestFit="1" customWidth="1"/>
    <col min="162" max="162" width="18.140625" bestFit="1" customWidth="1"/>
    <col min="163" max="163" width="19.42578125" bestFit="1" customWidth="1"/>
    <col min="164" max="164" width="24.140625" bestFit="1" customWidth="1"/>
    <col min="165" max="165" width="25.42578125" bestFit="1" customWidth="1"/>
    <col min="166" max="166" width="18.140625" bestFit="1" customWidth="1"/>
    <col min="167" max="167" width="19.42578125" bestFit="1" customWidth="1"/>
    <col min="168" max="168" width="24.140625" bestFit="1" customWidth="1"/>
    <col min="169" max="169" width="25.42578125" bestFit="1" customWidth="1"/>
    <col min="170" max="170" width="18.140625" bestFit="1" customWidth="1"/>
    <col min="171" max="171" width="19.42578125" bestFit="1" customWidth="1"/>
    <col min="172" max="172" width="24.140625" bestFit="1" customWidth="1"/>
    <col min="173" max="173" width="25.42578125" bestFit="1" customWidth="1"/>
    <col min="174" max="174" width="18.140625" bestFit="1" customWidth="1"/>
    <col min="175" max="175" width="19.42578125" bestFit="1" customWidth="1"/>
    <col min="176" max="176" width="24.140625" bestFit="1" customWidth="1"/>
    <col min="177" max="177" width="25.42578125" bestFit="1" customWidth="1"/>
    <col min="178" max="178" width="18.140625" bestFit="1" customWidth="1"/>
    <col min="179" max="179" width="19.42578125" bestFit="1" customWidth="1"/>
    <col min="180" max="180" width="24.140625" bestFit="1" customWidth="1"/>
    <col min="181" max="181" width="25.42578125" bestFit="1" customWidth="1"/>
    <col min="182" max="182" width="18.140625" bestFit="1" customWidth="1"/>
    <col min="183" max="183" width="19.42578125" bestFit="1" customWidth="1"/>
    <col min="184" max="184" width="24.140625" bestFit="1" customWidth="1"/>
    <col min="185" max="185" width="25.42578125" bestFit="1" customWidth="1"/>
    <col min="186" max="186" width="18.140625" bestFit="1" customWidth="1"/>
    <col min="187" max="187" width="19.42578125" bestFit="1" customWidth="1"/>
    <col min="188" max="188" width="24.140625" bestFit="1" customWidth="1"/>
    <col min="189" max="189" width="25.42578125" bestFit="1" customWidth="1"/>
    <col min="190" max="190" width="18.140625" bestFit="1" customWidth="1"/>
    <col min="191" max="191" width="19.42578125" bestFit="1" customWidth="1"/>
    <col min="192" max="192" width="24.140625" bestFit="1" customWidth="1"/>
    <col min="193" max="193" width="25.42578125" bestFit="1" customWidth="1"/>
    <col min="194" max="194" width="18.140625" bestFit="1" customWidth="1"/>
    <col min="195" max="195" width="19.42578125" bestFit="1" customWidth="1"/>
    <col min="196" max="196" width="24.140625" bestFit="1" customWidth="1"/>
    <col min="197" max="197" width="25.42578125" bestFit="1" customWidth="1"/>
    <col min="198" max="198" width="18.140625" bestFit="1" customWidth="1"/>
    <col min="199" max="199" width="19.42578125" bestFit="1" customWidth="1"/>
    <col min="200" max="200" width="24.140625" bestFit="1" customWidth="1"/>
    <col min="201" max="201" width="25.42578125" bestFit="1" customWidth="1"/>
    <col min="202" max="202" width="18.140625" bestFit="1" customWidth="1"/>
    <col min="203" max="203" width="19.42578125" bestFit="1" customWidth="1"/>
    <col min="204" max="204" width="24.140625" bestFit="1" customWidth="1"/>
    <col min="205" max="205" width="25.42578125" bestFit="1" customWidth="1"/>
    <col min="206" max="206" width="18.140625" bestFit="1" customWidth="1"/>
    <col min="207" max="207" width="19.42578125" bestFit="1" customWidth="1"/>
    <col min="208" max="208" width="24.140625" bestFit="1" customWidth="1"/>
    <col min="209" max="209" width="25.42578125" bestFit="1" customWidth="1"/>
    <col min="210" max="210" width="18.140625" bestFit="1" customWidth="1"/>
    <col min="211" max="211" width="19.42578125" bestFit="1" customWidth="1"/>
    <col min="212" max="212" width="24.140625" bestFit="1" customWidth="1"/>
    <col min="213" max="213" width="25.42578125" bestFit="1" customWidth="1"/>
    <col min="214" max="214" width="18.140625" bestFit="1" customWidth="1"/>
    <col min="215" max="215" width="19.42578125" bestFit="1" customWidth="1"/>
    <col min="216" max="216" width="25.28515625" bestFit="1" customWidth="1"/>
    <col min="217" max="217" width="26.7109375" bestFit="1" customWidth="1"/>
    <col min="218" max="218" width="18.140625" bestFit="1" customWidth="1"/>
    <col min="219" max="219" width="19.42578125" bestFit="1" customWidth="1"/>
    <col min="220" max="220" width="25.28515625" bestFit="1" customWidth="1"/>
    <col min="221" max="221" width="26.7109375" bestFit="1" customWidth="1"/>
    <col min="222" max="222" width="18.140625" bestFit="1" customWidth="1"/>
    <col min="223" max="223" width="19.42578125" bestFit="1" customWidth="1"/>
    <col min="224" max="224" width="25.28515625" bestFit="1" customWidth="1"/>
    <col min="225" max="225" width="26.7109375" bestFit="1" customWidth="1"/>
    <col min="226" max="226" width="18.140625" bestFit="1" customWidth="1"/>
    <col min="227" max="227" width="19.42578125" bestFit="1" customWidth="1"/>
    <col min="228" max="228" width="25.28515625" bestFit="1" customWidth="1"/>
    <col min="229" max="229" width="26.7109375" bestFit="1" customWidth="1"/>
    <col min="230" max="230" width="18.140625" bestFit="1" customWidth="1"/>
    <col min="231" max="231" width="19.42578125" bestFit="1" customWidth="1"/>
    <col min="232" max="232" width="25.28515625" bestFit="1" customWidth="1"/>
    <col min="233" max="233" width="26.7109375" bestFit="1" customWidth="1"/>
    <col min="234" max="234" width="23.28515625" bestFit="1" customWidth="1"/>
    <col min="235" max="235" width="24.5703125" bestFit="1" customWidth="1"/>
  </cols>
  <sheetData>
    <row r="3" spans="1:6">
      <c r="A3" s="1" t="s">
        <v>1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</row>
    <row r="4" spans="1:6">
      <c r="A4" t="s">
        <v>56</v>
      </c>
      <c r="B4">
        <v>181649</v>
      </c>
      <c r="C4">
        <v>22263</v>
      </c>
      <c r="D4">
        <v>419</v>
      </c>
      <c r="E4">
        <v>12256.05</v>
      </c>
      <c r="F4">
        <v>230.66</v>
      </c>
    </row>
    <row r="5" spans="1:6">
      <c r="A5" t="s">
        <v>42</v>
      </c>
      <c r="B5">
        <v>544717</v>
      </c>
      <c r="C5">
        <v>37522</v>
      </c>
      <c r="D5">
        <v>616</v>
      </c>
      <c r="E5">
        <v>6888.35</v>
      </c>
      <c r="F5">
        <v>113.09</v>
      </c>
    </row>
    <row r="6" spans="1:6">
      <c r="A6" t="s">
        <v>78</v>
      </c>
      <c r="B6">
        <v>17868</v>
      </c>
      <c r="C6">
        <v>570</v>
      </c>
      <c r="D6">
        <v>20</v>
      </c>
      <c r="E6">
        <v>3190.06</v>
      </c>
      <c r="F6">
        <v>111.93</v>
      </c>
    </row>
    <row r="7" spans="1:6">
      <c r="A7" t="s">
        <v>27</v>
      </c>
      <c r="B7">
        <v>10103711</v>
      </c>
      <c r="C7">
        <v>770914</v>
      </c>
      <c r="D7">
        <v>10345</v>
      </c>
      <c r="E7">
        <v>7630.01</v>
      </c>
      <c r="F7">
        <v>102.39</v>
      </c>
    </row>
    <row r="8" spans="1:6">
      <c r="A8" t="s">
        <v>51</v>
      </c>
      <c r="B8">
        <v>271096</v>
      </c>
      <c r="C8">
        <v>19443</v>
      </c>
      <c r="D8">
        <v>260</v>
      </c>
      <c r="E8">
        <v>7172</v>
      </c>
      <c r="F8">
        <v>95.91</v>
      </c>
    </row>
    <row r="9" spans="1:6">
      <c r="A9" t="s">
        <v>44</v>
      </c>
      <c r="B9">
        <v>462308</v>
      </c>
      <c r="C9">
        <v>33442</v>
      </c>
      <c r="D9">
        <v>406</v>
      </c>
      <c r="E9">
        <v>7233.71</v>
      </c>
      <c r="F9">
        <v>87.82</v>
      </c>
    </row>
    <row r="10" spans="1:6">
      <c r="A10" t="s">
        <v>41</v>
      </c>
      <c r="B10">
        <v>743296</v>
      </c>
      <c r="C10">
        <v>45582</v>
      </c>
      <c r="D10">
        <v>651</v>
      </c>
      <c r="E10">
        <v>6132.42</v>
      </c>
      <c r="F10">
        <v>87.58</v>
      </c>
    </row>
    <row r="11" spans="1:6">
      <c r="A11" t="s">
        <v>30</v>
      </c>
      <c r="B11">
        <v>2414964</v>
      </c>
      <c r="C11">
        <v>180552</v>
      </c>
      <c r="D11">
        <v>1985</v>
      </c>
      <c r="E11">
        <v>7476.38</v>
      </c>
      <c r="F11">
        <v>82.2</v>
      </c>
    </row>
    <row r="12" spans="1:6">
      <c r="A12" t="s">
        <v>58</v>
      </c>
      <c r="B12">
        <v>155423</v>
      </c>
      <c r="C12">
        <v>10490</v>
      </c>
      <c r="D12">
        <v>117</v>
      </c>
      <c r="E12">
        <v>6749.32</v>
      </c>
      <c r="F12">
        <v>75.28</v>
      </c>
    </row>
    <row r="13" spans="1:6">
      <c r="A13" t="s">
        <v>59</v>
      </c>
      <c r="B13">
        <v>149665</v>
      </c>
      <c r="C13">
        <v>16113</v>
      </c>
      <c r="D13">
        <v>110</v>
      </c>
      <c r="E13">
        <v>10766.04</v>
      </c>
      <c r="F13">
        <v>73.5</v>
      </c>
    </row>
    <row r="14" spans="1:6">
      <c r="A14" t="s">
        <v>31</v>
      </c>
      <c r="B14">
        <v>2150945</v>
      </c>
      <c r="C14">
        <v>194376</v>
      </c>
      <c r="D14">
        <v>1445</v>
      </c>
      <c r="E14">
        <v>9036.77</v>
      </c>
      <c r="F14">
        <v>67.180000000000007</v>
      </c>
    </row>
    <row r="15" spans="1:6">
      <c r="A15" t="s">
        <v>36</v>
      </c>
      <c r="B15">
        <v>985238</v>
      </c>
      <c r="C15">
        <v>65399</v>
      </c>
      <c r="D15">
        <v>646</v>
      </c>
      <c r="E15">
        <v>6637.89</v>
      </c>
      <c r="F15">
        <v>65.569999999999993</v>
      </c>
    </row>
    <row r="16" spans="1:6">
      <c r="A16" t="s">
        <v>72</v>
      </c>
      <c r="B16">
        <v>38529</v>
      </c>
      <c r="C16">
        <v>2416</v>
      </c>
      <c r="D16">
        <v>24</v>
      </c>
      <c r="E16">
        <v>6270.6</v>
      </c>
      <c r="F16">
        <v>62.29</v>
      </c>
    </row>
    <row r="17" spans="1:6">
      <c r="A17" t="s">
        <v>29</v>
      </c>
      <c r="B17">
        <v>3174289</v>
      </c>
      <c r="C17">
        <v>166195</v>
      </c>
      <c r="D17">
        <v>1875</v>
      </c>
      <c r="E17">
        <v>5235.66</v>
      </c>
      <c r="F17">
        <v>59.07</v>
      </c>
    </row>
    <row r="18" spans="1:6">
      <c r="A18" t="s">
        <v>37</v>
      </c>
      <c r="B18">
        <v>887356</v>
      </c>
      <c r="C18">
        <v>68968</v>
      </c>
      <c r="D18">
        <v>512</v>
      </c>
      <c r="E18">
        <v>7772.3</v>
      </c>
      <c r="F18">
        <v>57.7</v>
      </c>
    </row>
    <row r="19" spans="1:6">
      <c r="A19" t="s">
        <v>67</v>
      </c>
      <c r="B19">
        <v>63847</v>
      </c>
      <c r="C19">
        <v>2966</v>
      </c>
      <c r="D19">
        <v>36</v>
      </c>
      <c r="E19">
        <v>4645.4799999999996</v>
      </c>
      <c r="F19">
        <v>56.38</v>
      </c>
    </row>
    <row r="20" spans="1:6">
      <c r="A20" t="s">
        <v>34</v>
      </c>
      <c r="B20">
        <v>1527301</v>
      </c>
      <c r="C20">
        <v>65539</v>
      </c>
      <c r="D20">
        <v>857</v>
      </c>
      <c r="E20">
        <v>4291.16</v>
      </c>
      <c r="F20">
        <v>56.11</v>
      </c>
    </row>
    <row r="21" spans="1:6">
      <c r="A21" t="s">
        <v>63</v>
      </c>
      <c r="B21">
        <v>96204</v>
      </c>
      <c r="C21">
        <v>6503</v>
      </c>
      <c r="D21">
        <v>52</v>
      </c>
      <c r="E21">
        <v>6759.59</v>
      </c>
      <c r="F21">
        <v>54.05</v>
      </c>
    </row>
    <row r="22" spans="1:6">
      <c r="A22" t="s">
        <v>52</v>
      </c>
      <c r="B22">
        <v>259749</v>
      </c>
      <c r="C22">
        <v>9799</v>
      </c>
      <c r="D22">
        <v>139</v>
      </c>
      <c r="E22">
        <v>3772.49</v>
      </c>
      <c r="F22">
        <v>53.51</v>
      </c>
    </row>
    <row r="23" spans="1:6">
      <c r="A23" t="s">
        <v>54</v>
      </c>
      <c r="B23">
        <v>218477</v>
      </c>
      <c r="C23">
        <v>8237</v>
      </c>
      <c r="D23">
        <v>111</v>
      </c>
      <c r="E23">
        <v>3770.19</v>
      </c>
      <c r="F23">
        <v>50.81</v>
      </c>
    </row>
    <row r="24" spans="1:6">
      <c r="A24" t="s">
        <v>62</v>
      </c>
      <c r="B24">
        <v>99367</v>
      </c>
      <c r="C24">
        <v>2608</v>
      </c>
      <c r="D24">
        <v>50</v>
      </c>
      <c r="E24">
        <v>2624.61</v>
      </c>
      <c r="F24">
        <v>50.32</v>
      </c>
    </row>
    <row r="25" spans="1:6">
      <c r="A25" t="s">
        <v>74</v>
      </c>
      <c r="B25">
        <v>27926</v>
      </c>
      <c r="C25">
        <v>1457</v>
      </c>
      <c r="D25">
        <v>14</v>
      </c>
      <c r="E25">
        <v>5217.3599999999997</v>
      </c>
      <c r="F25">
        <v>50.13</v>
      </c>
    </row>
    <row r="26" spans="1:6">
      <c r="A26" t="s">
        <v>68</v>
      </c>
      <c r="B26">
        <v>60164</v>
      </c>
      <c r="C26">
        <v>3672</v>
      </c>
      <c r="D26">
        <v>29</v>
      </c>
      <c r="E26">
        <v>6103.32</v>
      </c>
      <c r="F26">
        <v>48.2</v>
      </c>
    </row>
    <row r="27" spans="1:6">
      <c r="A27" t="s">
        <v>70</v>
      </c>
      <c r="B27">
        <v>45681</v>
      </c>
      <c r="C27">
        <v>1129</v>
      </c>
      <c r="D27">
        <v>22</v>
      </c>
      <c r="E27">
        <v>2471.4899999999998</v>
      </c>
      <c r="F27">
        <v>48.16</v>
      </c>
    </row>
    <row r="28" spans="1:6">
      <c r="A28" t="s">
        <v>28</v>
      </c>
      <c r="B28">
        <v>3321237</v>
      </c>
      <c r="C28">
        <v>155657</v>
      </c>
      <c r="D28">
        <v>1534</v>
      </c>
      <c r="E28">
        <v>4686.72</v>
      </c>
      <c r="F28">
        <v>46.19</v>
      </c>
    </row>
    <row r="29" spans="1:6">
      <c r="A29" t="s">
        <v>47</v>
      </c>
      <c r="B29">
        <v>434534</v>
      </c>
      <c r="C29">
        <v>27857</v>
      </c>
      <c r="D29">
        <v>193</v>
      </c>
      <c r="E29">
        <v>6410.78</v>
      </c>
      <c r="F29">
        <v>44.42</v>
      </c>
    </row>
    <row r="30" spans="1:6">
      <c r="A30" t="s">
        <v>57</v>
      </c>
      <c r="B30">
        <v>179384</v>
      </c>
      <c r="C30">
        <v>8059</v>
      </c>
      <c r="D30">
        <v>78</v>
      </c>
      <c r="E30">
        <v>4492.6000000000004</v>
      </c>
      <c r="F30">
        <v>43.48</v>
      </c>
    </row>
    <row r="31" spans="1:6">
      <c r="A31" t="s">
        <v>53</v>
      </c>
      <c r="B31">
        <v>228696</v>
      </c>
      <c r="C31">
        <v>7389</v>
      </c>
      <c r="D31">
        <v>96</v>
      </c>
      <c r="E31">
        <v>3230.93</v>
      </c>
      <c r="F31">
        <v>41.98</v>
      </c>
    </row>
    <row r="32" spans="1:6">
      <c r="A32" t="s">
        <v>33</v>
      </c>
      <c r="B32">
        <v>1660196</v>
      </c>
      <c r="C32">
        <v>51610</v>
      </c>
      <c r="D32">
        <v>657</v>
      </c>
      <c r="E32">
        <v>3108.67</v>
      </c>
      <c r="F32">
        <v>39.57</v>
      </c>
    </row>
    <row r="33" spans="1:6">
      <c r="A33" t="s">
        <v>69</v>
      </c>
      <c r="B33">
        <v>53976</v>
      </c>
      <c r="C33">
        <v>2961</v>
      </c>
      <c r="D33">
        <v>21</v>
      </c>
      <c r="E33">
        <v>5485.77</v>
      </c>
      <c r="F33">
        <v>38.909999999999997</v>
      </c>
    </row>
    <row r="34" spans="1:6">
      <c r="A34" t="s">
        <v>43</v>
      </c>
      <c r="B34">
        <v>502469</v>
      </c>
      <c r="C34">
        <v>19054</v>
      </c>
      <c r="D34">
        <v>192</v>
      </c>
      <c r="E34">
        <v>3792.07</v>
      </c>
      <c r="F34">
        <v>38.21</v>
      </c>
    </row>
    <row r="35" spans="1:6">
      <c r="A35" t="s">
        <v>76</v>
      </c>
      <c r="B35">
        <v>21579</v>
      </c>
      <c r="C35">
        <v>1350</v>
      </c>
      <c r="D35">
        <v>8</v>
      </c>
      <c r="E35">
        <v>6256.08</v>
      </c>
      <c r="F35">
        <v>37.07</v>
      </c>
    </row>
    <row r="36" spans="1:6">
      <c r="A36" t="s">
        <v>32</v>
      </c>
      <c r="B36">
        <v>1932510</v>
      </c>
      <c r="C36">
        <v>69878</v>
      </c>
      <c r="D36">
        <v>710</v>
      </c>
      <c r="E36">
        <v>3615.92</v>
      </c>
      <c r="F36">
        <v>36.74</v>
      </c>
    </row>
    <row r="37" spans="1:6">
      <c r="A37" t="s">
        <v>45</v>
      </c>
      <c r="B37">
        <v>445298</v>
      </c>
      <c r="C37">
        <v>17390</v>
      </c>
      <c r="D37">
        <v>160</v>
      </c>
      <c r="E37">
        <v>3905.25</v>
      </c>
      <c r="F37">
        <v>35.93</v>
      </c>
    </row>
    <row r="38" spans="1:6">
      <c r="A38" t="s">
        <v>66</v>
      </c>
      <c r="B38">
        <v>64111</v>
      </c>
      <c r="C38">
        <v>1815</v>
      </c>
      <c r="D38">
        <v>23</v>
      </c>
      <c r="E38">
        <v>2831.03</v>
      </c>
      <c r="F38">
        <v>35.880000000000003</v>
      </c>
    </row>
    <row r="39" spans="1:6">
      <c r="A39" t="s">
        <v>48</v>
      </c>
      <c r="B39">
        <v>385115</v>
      </c>
      <c r="C39">
        <v>13754</v>
      </c>
      <c r="D39">
        <v>125</v>
      </c>
      <c r="E39">
        <v>3571.4</v>
      </c>
      <c r="F39">
        <v>32.46</v>
      </c>
    </row>
    <row r="40" spans="1:6">
      <c r="A40" t="s">
        <v>81</v>
      </c>
      <c r="B40">
        <v>12726</v>
      </c>
      <c r="C40">
        <v>250</v>
      </c>
      <c r="D40">
        <v>4</v>
      </c>
      <c r="E40">
        <v>1964.48</v>
      </c>
      <c r="F40">
        <v>31.43</v>
      </c>
    </row>
    <row r="41" spans="1:6">
      <c r="A41" t="s">
        <v>39</v>
      </c>
      <c r="B41">
        <v>849044</v>
      </c>
      <c r="C41">
        <v>39558</v>
      </c>
      <c r="D41">
        <v>263</v>
      </c>
      <c r="E41">
        <v>4659.12</v>
      </c>
      <c r="F41">
        <v>30.98</v>
      </c>
    </row>
    <row r="42" spans="1:6">
      <c r="A42" t="s">
        <v>50</v>
      </c>
      <c r="B42">
        <v>274856</v>
      </c>
      <c r="C42">
        <v>8748</v>
      </c>
      <c r="D42">
        <v>83</v>
      </c>
      <c r="E42">
        <v>3182.76</v>
      </c>
      <c r="F42">
        <v>30.2</v>
      </c>
    </row>
    <row r="43" spans="1:6">
      <c r="A43" t="s">
        <v>64</v>
      </c>
      <c r="B43">
        <v>87576</v>
      </c>
      <c r="C43">
        <v>2557</v>
      </c>
      <c r="D43">
        <v>26</v>
      </c>
      <c r="E43">
        <v>2919.75</v>
      </c>
      <c r="F43">
        <v>29.69</v>
      </c>
    </row>
    <row r="44" spans="1:6">
      <c r="A44" t="s">
        <v>40</v>
      </c>
      <c r="B44">
        <v>768901</v>
      </c>
      <c r="C44">
        <v>24588</v>
      </c>
      <c r="D44">
        <v>227</v>
      </c>
      <c r="E44">
        <v>3197.81</v>
      </c>
      <c r="F44">
        <v>29.52</v>
      </c>
    </row>
    <row r="45" spans="1:6">
      <c r="A45" t="s">
        <v>35</v>
      </c>
      <c r="B45">
        <v>1145535</v>
      </c>
      <c r="C45">
        <v>40696</v>
      </c>
      <c r="D45">
        <v>335</v>
      </c>
      <c r="E45">
        <v>3552.58</v>
      </c>
      <c r="F45">
        <v>29.24</v>
      </c>
    </row>
    <row r="46" spans="1:6">
      <c r="A46" t="s">
        <v>73</v>
      </c>
      <c r="B46">
        <v>30920</v>
      </c>
      <c r="C46">
        <v>4689</v>
      </c>
      <c r="D46">
        <v>9</v>
      </c>
      <c r="E46">
        <v>15164.94</v>
      </c>
      <c r="F46">
        <v>29.11</v>
      </c>
    </row>
    <row r="47" spans="1:6">
      <c r="A47" t="s">
        <v>49</v>
      </c>
      <c r="B47">
        <v>282481</v>
      </c>
      <c r="C47">
        <v>10489</v>
      </c>
      <c r="D47">
        <v>82</v>
      </c>
      <c r="E47">
        <v>3713.17</v>
      </c>
      <c r="F47">
        <v>29.03</v>
      </c>
    </row>
    <row r="48" spans="1:6">
      <c r="A48" t="s">
        <v>80</v>
      </c>
      <c r="B48">
        <v>14354</v>
      </c>
      <c r="C48">
        <v>866</v>
      </c>
      <c r="D48">
        <v>4</v>
      </c>
      <c r="E48">
        <v>6033.16</v>
      </c>
      <c r="F48">
        <v>27.87</v>
      </c>
    </row>
    <row r="49" spans="1:6">
      <c r="A49" t="s">
        <v>71</v>
      </c>
      <c r="B49">
        <v>43622</v>
      </c>
      <c r="C49">
        <v>1174</v>
      </c>
      <c r="D49">
        <v>11</v>
      </c>
      <c r="E49">
        <v>2691.3</v>
      </c>
      <c r="F49">
        <v>25.22</v>
      </c>
    </row>
    <row r="50" spans="1:6">
      <c r="A50" t="s">
        <v>65</v>
      </c>
      <c r="B50">
        <v>76578</v>
      </c>
      <c r="C50">
        <v>3896</v>
      </c>
      <c r="D50">
        <v>19</v>
      </c>
      <c r="E50">
        <v>5087.62</v>
      </c>
      <c r="F50">
        <v>24.81</v>
      </c>
    </row>
    <row r="51" spans="1:6">
      <c r="A51" t="s">
        <v>79</v>
      </c>
      <c r="B51">
        <v>17414</v>
      </c>
      <c r="C51">
        <v>251</v>
      </c>
      <c r="D51">
        <v>4</v>
      </c>
      <c r="E51">
        <v>1441.37</v>
      </c>
      <c r="F51">
        <v>22.97</v>
      </c>
    </row>
    <row r="52" spans="1:6">
      <c r="A52" t="s">
        <v>46</v>
      </c>
      <c r="B52">
        <v>443511</v>
      </c>
      <c r="C52">
        <v>19215</v>
      </c>
      <c r="D52">
        <v>98</v>
      </c>
      <c r="E52">
        <v>4332.47</v>
      </c>
      <c r="F52">
        <v>22.1</v>
      </c>
    </row>
    <row r="53" spans="1:6">
      <c r="A53" t="s">
        <v>38</v>
      </c>
      <c r="B53">
        <v>878040</v>
      </c>
      <c r="C53">
        <v>23225</v>
      </c>
      <c r="D53">
        <v>186</v>
      </c>
      <c r="E53">
        <v>2645.1</v>
      </c>
      <c r="F53">
        <v>21.18</v>
      </c>
    </row>
    <row r="54" spans="1:6">
      <c r="A54" t="s">
        <v>60</v>
      </c>
      <c r="B54">
        <v>139878</v>
      </c>
      <c r="C54">
        <v>5741</v>
      </c>
      <c r="D54">
        <v>28</v>
      </c>
      <c r="E54">
        <v>4104.29</v>
      </c>
      <c r="F54">
        <v>20.02</v>
      </c>
    </row>
    <row r="55" spans="1:6">
      <c r="A55" t="s">
        <v>61</v>
      </c>
      <c r="B55">
        <v>136507</v>
      </c>
      <c r="C55">
        <v>1763</v>
      </c>
      <c r="D55">
        <v>22</v>
      </c>
      <c r="E55">
        <v>1291.51</v>
      </c>
      <c r="F55">
        <v>16.12</v>
      </c>
    </row>
    <row r="56" spans="1:6">
      <c r="A56" t="s">
        <v>55</v>
      </c>
      <c r="B56">
        <v>188679</v>
      </c>
      <c r="C56">
        <v>5588</v>
      </c>
      <c r="D56">
        <v>22</v>
      </c>
      <c r="E56">
        <v>2961.64</v>
      </c>
      <c r="F56">
        <v>11.66</v>
      </c>
    </row>
    <row r="57" spans="1:6">
      <c r="A57" t="s">
        <v>82</v>
      </c>
      <c r="B57">
        <v>8876</v>
      </c>
      <c r="C57">
        <v>321</v>
      </c>
      <c r="D57">
        <v>1</v>
      </c>
      <c r="E57">
        <v>3616.49</v>
      </c>
      <c r="F57">
        <v>11.27</v>
      </c>
    </row>
    <row r="58" spans="1:6">
      <c r="A58" t="s">
        <v>75</v>
      </c>
      <c r="B58">
        <v>27351</v>
      </c>
      <c r="C58">
        <v>759</v>
      </c>
      <c r="D58">
        <v>2</v>
      </c>
      <c r="E58">
        <v>2775.04</v>
      </c>
      <c r="F58">
        <v>7.31</v>
      </c>
    </row>
    <row r="59" spans="1:6">
      <c r="A59" t="s">
        <v>77</v>
      </c>
      <c r="B59">
        <v>18660</v>
      </c>
      <c r="C59">
        <v>397</v>
      </c>
      <c r="D59">
        <v>1</v>
      </c>
      <c r="E59">
        <v>2127.5500000000002</v>
      </c>
      <c r="F59">
        <v>5.36</v>
      </c>
    </row>
    <row r="60" spans="1:6">
      <c r="A60" t="s">
        <v>83</v>
      </c>
      <c r="B60">
        <v>3002</v>
      </c>
      <c r="C60">
        <v>23</v>
      </c>
      <c r="D60">
        <v>0</v>
      </c>
      <c r="E60">
        <v>766.16</v>
      </c>
      <c r="F60">
        <v>0</v>
      </c>
    </row>
    <row r="61" spans="1:6">
      <c r="A61" t="s">
        <v>84</v>
      </c>
      <c r="B61">
        <v>1111</v>
      </c>
      <c r="C61">
        <v>64</v>
      </c>
      <c r="D61">
        <v>0</v>
      </c>
      <c r="E61">
        <v>5760.58</v>
      </c>
      <c r="F61">
        <v>0</v>
      </c>
    </row>
  </sheetData>
  <conditionalFormatting sqref="E1:E1048576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1:F1048576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1:E1048576">
    <cfRule type="colorScale" priority="8">
      <colorScale>
        <cfvo type="min"/>
        <cfvo type="max"/>
        <color rgb="FFFCFCFF"/>
        <color rgb="FFF8696B"/>
      </colorScale>
    </cfRule>
  </conditionalFormatting>
  <conditionalFormatting sqref="F1:F1048576">
    <cfRule type="colorScale" priority="7">
      <colorScale>
        <cfvo type="min"/>
        <cfvo type="max"/>
        <color rgb="FFFCFCFF"/>
        <color rgb="FFF8696B"/>
      </colorScale>
    </cfRule>
  </conditionalFormatting>
  <conditionalFormatting sqref="L20:L78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20:M78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0:L78">
    <cfRule type="colorScale" priority="4">
      <colorScale>
        <cfvo type="min"/>
        <cfvo type="max"/>
        <color rgb="FFFCFCFF"/>
        <color rgb="FFF8696B"/>
      </colorScale>
    </cfRule>
  </conditionalFormatting>
  <conditionalFormatting sqref="M20:M78">
    <cfRule type="colorScale" priority="3">
      <colorScale>
        <cfvo type="min"/>
        <cfvo type="max"/>
        <color rgb="FFFCFCFF"/>
        <color rgb="FFF8696B"/>
      </colorScale>
    </cfRule>
  </conditionalFormatting>
  <conditionalFormatting sqref="L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B44D-6F35-4229-8F44-D47F5726C7D3}">
  <dimension ref="A2:H61"/>
  <sheetViews>
    <sheetView workbookViewId="0">
      <selection activeCell="I18" sqref="I18"/>
    </sheetView>
  </sheetViews>
  <sheetFormatPr defaultRowHeight="15"/>
  <cols>
    <col min="1" max="1" width="21.85546875" bestFit="1" customWidth="1"/>
    <col min="2" max="2" width="16" bestFit="1" customWidth="1"/>
    <col min="3" max="3" width="18" bestFit="1" customWidth="1"/>
    <col min="4" max="4" width="18.42578125" bestFit="1" customWidth="1"/>
    <col min="5" max="5" width="21" bestFit="1" customWidth="1"/>
    <col min="6" max="6" width="14.42578125" bestFit="1" customWidth="1"/>
    <col min="7" max="7" width="21.5703125" bestFit="1" customWidth="1"/>
    <col min="8" max="8" width="31.85546875" bestFit="1" customWidth="1"/>
    <col min="9" max="9" width="34.85546875" bestFit="1" customWidth="1"/>
  </cols>
  <sheetData>
    <row r="2" spans="1:8">
      <c r="A2" s="2" t="s">
        <v>90</v>
      </c>
    </row>
    <row r="3" spans="1:8">
      <c r="A3" s="1" t="s">
        <v>1</v>
      </c>
      <c r="B3" t="s">
        <v>85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</row>
    <row r="4" spans="1:8">
      <c r="A4" t="s">
        <v>38</v>
      </c>
      <c r="B4">
        <v>878040</v>
      </c>
      <c r="C4">
        <v>13</v>
      </c>
      <c r="D4">
        <v>5</v>
      </c>
      <c r="E4">
        <v>1</v>
      </c>
      <c r="F4">
        <v>494</v>
      </c>
      <c r="G4">
        <v>1</v>
      </c>
      <c r="H4">
        <v>160</v>
      </c>
    </row>
    <row r="5" spans="1:8">
      <c r="A5" t="s">
        <v>52</v>
      </c>
      <c r="B5">
        <v>259749</v>
      </c>
      <c r="C5">
        <v>4</v>
      </c>
      <c r="D5">
        <v>3</v>
      </c>
      <c r="E5">
        <v>1</v>
      </c>
      <c r="F5">
        <v>175</v>
      </c>
      <c r="G5">
        <v>2</v>
      </c>
      <c r="H5">
        <v>147</v>
      </c>
    </row>
    <row r="6" spans="1:8">
      <c r="A6" t="s">
        <v>48</v>
      </c>
      <c r="B6">
        <v>385115</v>
      </c>
      <c r="C6">
        <v>3</v>
      </c>
      <c r="D6">
        <v>4</v>
      </c>
      <c r="E6">
        <v>1</v>
      </c>
      <c r="F6">
        <v>184</v>
      </c>
      <c r="G6">
        <v>1</v>
      </c>
      <c r="H6">
        <v>124</v>
      </c>
    </row>
    <row r="7" spans="1:8">
      <c r="A7" t="s">
        <v>54</v>
      </c>
      <c r="B7">
        <v>218477</v>
      </c>
      <c r="C7">
        <v>3</v>
      </c>
      <c r="D7">
        <v>1</v>
      </c>
      <c r="E7">
        <v>0</v>
      </c>
      <c r="F7">
        <v>71</v>
      </c>
      <c r="G7">
        <v>1</v>
      </c>
      <c r="H7">
        <v>122</v>
      </c>
    </row>
    <row r="8" spans="1:8">
      <c r="A8" t="s">
        <v>33</v>
      </c>
      <c r="B8">
        <v>1660196</v>
      </c>
      <c r="C8">
        <v>23</v>
      </c>
      <c r="D8">
        <v>10</v>
      </c>
      <c r="E8">
        <v>1</v>
      </c>
      <c r="F8">
        <v>214</v>
      </c>
      <c r="G8">
        <v>1</v>
      </c>
      <c r="H8">
        <v>113</v>
      </c>
    </row>
    <row r="9" spans="1:8">
      <c r="A9" t="s">
        <v>40</v>
      </c>
      <c r="B9">
        <v>768901</v>
      </c>
      <c r="C9">
        <v>9</v>
      </c>
      <c r="D9">
        <v>4</v>
      </c>
      <c r="E9">
        <v>1</v>
      </c>
      <c r="F9">
        <v>146</v>
      </c>
      <c r="G9">
        <v>1</v>
      </c>
      <c r="H9">
        <v>107</v>
      </c>
    </row>
    <row r="10" spans="1:8">
      <c r="A10" t="s">
        <v>32</v>
      </c>
      <c r="B10">
        <v>1932510</v>
      </c>
      <c r="C10">
        <v>16</v>
      </c>
      <c r="D10">
        <v>13</v>
      </c>
      <c r="E10">
        <v>1</v>
      </c>
      <c r="F10">
        <v>218</v>
      </c>
      <c r="G10">
        <v>1</v>
      </c>
      <c r="H10">
        <v>107</v>
      </c>
    </row>
    <row r="11" spans="1:8">
      <c r="A11" t="s">
        <v>50</v>
      </c>
      <c r="B11">
        <v>274856</v>
      </c>
      <c r="C11">
        <v>3</v>
      </c>
      <c r="D11">
        <v>9</v>
      </c>
      <c r="E11">
        <v>3</v>
      </c>
      <c r="F11">
        <v>133</v>
      </c>
      <c r="G11">
        <v>1</v>
      </c>
      <c r="H11">
        <v>104</v>
      </c>
    </row>
    <row r="12" spans="1:8">
      <c r="A12" t="s">
        <v>35</v>
      </c>
      <c r="B12">
        <v>1145535</v>
      </c>
      <c r="C12">
        <v>13</v>
      </c>
      <c r="D12">
        <v>8</v>
      </c>
      <c r="E12">
        <v>1</v>
      </c>
      <c r="F12">
        <v>130</v>
      </c>
      <c r="G12">
        <v>1</v>
      </c>
      <c r="H12">
        <v>103</v>
      </c>
    </row>
    <row r="13" spans="1:8">
      <c r="A13" t="s">
        <v>43</v>
      </c>
      <c r="B13">
        <v>502469</v>
      </c>
      <c r="C13">
        <v>13</v>
      </c>
      <c r="D13">
        <v>4</v>
      </c>
      <c r="E13">
        <v>1</v>
      </c>
      <c r="F13">
        <v>280</v>
      </c>
      <c r="G13">
        <v>3</v>
      </c>
      <c r="H13">
        <v>101</v>
      </c>
    </row>
    <row r="14" spans="1:8">
      <c r="A14" t="s">
        <v>29</v>
      </c>
      <c r="B14">
        <v>3174289</v>
      </c>
      <c r="C14">
        <v>43</v>
      </c>
      <c r="D14">
        <v>59</v>
      </c>
      <c r="E14">
        <v>2</v>
      </c>
      <c r="F14">
        <v>196</v>
      </c>
      <c r="G14">
        <v>1</v>
      </c>
      <c r="H14">
        <v>100</v>
      </c>
    </row>
    <row r="15" spans="1:8">
      <c r="A15" t="s">
        <v>60</v>
      </c>
      <c r="B15">
        <v>139878</v>
      </c>
      <c r="C15">
        <v>2</v>
      </c>
      <c r="D15">
        <v>1</v>
      </c>
      <c r="E15">
        <v>1</v>
      </c>
      <c r="F15">
        <v>1158</v>
      </c>
      <c r="G15">
        <v>1</v>
      </c>
      <c r="H15">
        <v>99</v>
      </c>
    </row>
    <row r="16" spans="1:8">
      <c r="A16" t="s">
        <v>34</v>
      </c>
      <c r="B16">
        <v>1527301</v>
      </c>
      <c r="C16">
        <v>13</v>
      </c>
      <c r="D16">
        <v>18</v>
      </c>
      <c r="E16">
        <v>1</v>
      </c>
      <c r="F16">
        <v>209</v>
      </c>
      <c r="G16">
        <v>1</v>
      </c>
      <c r="H16">
        <v>91</v>
      </c>
    </row>
    <row r="17" spans="1:8">
      <c r="A17" t="s">
        <v>77</v>
      </c>
      <c r="B17">
        <v>18660</v>
      </c>
      <c r="C17">
        <v>7</v>
      </c>
      <c r="D17">
        <v>1</v>
      </c>
      <c r="E17">
        <v>5</v>
      </c>
      <c r="F17">
        <v>664</v>
      </c>
      <c r="G17">
        <v>37</v>
      </c>
      <c r="H17">
        <v>90</v>
      </c>
    </row>
    <row r="18" spans="1:8">
      <c r="A18" t="s">
        <v>64</v>
      </c>
      <c r="B18">
        <v>87576</v>
      </c>
      <c r="C18">
        <v>6</v>
      </c>
      <c r="D18">
        <v>0</v>
      </c>
      <c r="E18">
        <v>0</v>
      </c>
      <c r="F18">
        <v>116</v>
      </c>
      <c r="G18">
        <v>7</v>
      </c>
      <c r="H18">
        <v>88</v>
      </c>
    </row>
    <row r="19" spans="1:8">
      <c r="A19" t="s">
        <v>49</v>
      </c>
      <c r="B19">
        <v>282481</v>
      </c>
      <c r="C19">
        <v>5</v>
      </c>
      <c r="D19">
        <v>5</v>
      </c>
      <c r="E19">
        <v>2</v>
      </c>
      <c r="F19">
        <v>534</v>
      </c>
      <c r="G19">
        <v>2</v>
      </c>
      <c r="H19">
        <v>84</v>
      </c>
    </row>
    <row r="20" spans="1:8">
      <c r="A20" t="s">
        <v>78</v>
      </c>
      <c r="B20">
        <v>17868</v>
      </c>
      <c r="C20">
        <v>4</v>
      </c>
      <c r="D20">
        <v>0</v>
      </c>
      <c r="E20">
        <v>0</v>
      </c>
      <c r="F20">
        <v>161</v>
      </c>
      <c r="G20">
        <v>22</v>
      </c>
      <c r="H20">
        <v>83</v>
      </c>
    </row>
    <row r="21" spans="1:8">
      <c r="A21" t="s">
        <v>28</v>
      </c>
      <c r="B21">
        <v>3321237</v>
      </c>
      <c r="C21">
        <v>28</v>
      </c>
      <c r="D21">
        <v>40</v>
      </c>
      <c r="E21">
        <v>1</v>
      </c>
      <c r="F21">
        <v>216</v>
      </c>
      <c r="G21">
        <v>1</v>
      </c>
      <c r="H21">
        <v>82</v>
      </c>
    </row>
    <row r="22" spans="1:8">
      <c r="A22" t="s">
        <v>46</v>
      </c>
      <c r="B22">
        <v>443511</v>
      </c>
      <c r="C22">
        <v>7</v>
      </c>
      <c r="D22">
        <v>4</v>
      </c>
      <c r="E22">
        <v>1</v>
      </c>
      <c r="F22">
        <v>242</v>
      </c>
      <c r="G22">
        <v>2</v>
      </c>
      <c r="H22">
        <v>81</v>
      </c>
    </row>
    <row r="23" spans="1:8">
      <c r="A23" t="s">
        <v>39</v>
      </c>
      <c r="B23">
        <v>849044</v>
      </c>
      <c r="C23">
        <v>10</v>
      </c>
      <c r="D23">
        <v>24</v>
      </c>
      <c r="E23">
        <v>3</v>
      </c>
      <c r="F23">
        <v>146</v>
      </c>
      <c r="G23">
        <v>1</v>
      </c>
      <c r="H23">
        <v>81</v>
      </c>
    </row>
    <row r="24" spans="1:8">
      <c r="A24" t="s">
        <v>71</v>
      </c>
      <c r="B24">
        <v>43622</v>
      </c>
      <c r="C24">
        <v>4</v>
      </c>
      <c r="D24">
        <v>5</v>
      </c>
      <c r="E24">
        <v>11</v>
      </c>
      <c r="F24">
        <v>134</v>
      </c>
      <c r="G24">
        <v>9</v>
      </c>
      <c r="H24">
        <v>81</v>
      </c>
    </row>
    <row r="25" spans="1:8">
      <c r="A25" t="s">
        <v>55</v>
      </c>
      <c r="B25">
        <v>188679</v>
      </c>
      <c r="C25">
        <v>2</v>
      </c>
      <c r="D25">
        <v>3</v>
      </c>
      <c r="E25">
        <v>2</v>
      </c>
      <c r="F25">
        <v>112</v>
      </c>
      <c r="G25">
        <v>1</v>
      </c>
      <c r="H25">
        <v>79</v>
      </c>
    </row>
    <row r="26" spans="1:8">
      <c r="A26" t="s">
        <v>63</v>
      </c>
      <c r="B26">
        <v>96204</v>
      </c>
      <c r="C26">
        <v>2</v>
      </c>
      <c r="D26">
        <v>3</v>
      </c>
      <c r="E26">
        <v>3</v>
      </c>
      <c r="F26">
        <v>15</v>
      </c>
      <c r="G26">
        <v>2</v>
      </c>
      <c r="H26">
        <v>77</v>
      </c>
    </row>
    <row r="27" spans="1:8">
      <c r="A27" t="s">
        <v>57</v>
      </c>
      <c r="B27">
        <v>179384</v>
      </c>
      <c r="C27">
        <v>8</v>
      </c>
      <c r="D27">
        <v>7</v>
      </c>
      <c r="E27">
        <v>4</v>
      </c>
      <c r="F27">
        <v>317</v>
      </c>
      <c r="G27">
        <v>4</v>
      </c>
      <c r="H27">
        <v>76</v>
      </c>
    </row>
    <row r="28" spans="1:8">
      <c r="A28" t="s">
        <v>45</v>
      </c>
      <c r="B28">
        <v>445298</v>
      </c>
      <c r="C28">
        <v>7</v>
      </c>
      <c r="D28">
        <v>11</v>
      </c>
      <c r="E28">
        <v>2</v>
      </c>
      <c r="F28">
        <v>211</v>
      </c>
      <c r="G28">
        <v>2</v>
      </c>
      <c r="H28">
        <v>76</v>
      </c>
    </row>
    <row r="29" spans="1:8">
      <c r="A29" t="s">
        <v>27</v>
      </c>
      <c r="B29">
        <v>10103711</v>
      </c>
      <c r="C29">
        <v>121</v>
      </c>
      <c r="D29">
        <v>128</v>
      </c>
      <c r="E29">
        <v>1</v>
      </c>
      <c r="F29">
        <v>239</v>
      </c>
      <c r="G29">
        <v>1</v>
      </c>
      <c r="H29">
        <v>74</v>
      </c>
    </row>
    <row r="30" spans="1:8">
      <c r="A30" t="s">
        <v>62</v>
      </c>
      <c r="B30">
        <v>99367</v>
      </c>
      <c r="C30">
        <v>3</v>
      </c>
      <c r="D30">
        <v>2</v>
      </c>
      <c r="E30">
        <v>2</v>
      </c>
      <c r="F30">
        <v>171</v>
      </c>
      <c r="G30">
        <v>3</v>
      </c>
      <c r="H30">
        <v>74</v>
      </c>
    </row>
    <row r="31" spans="1:8">
      <c r="A31" t="s">
        <v>36</v>
      </c>
      <c r="B31">
        <v>985238</v>
      </c>
      <c r="C31">
        <v>11</v>
      </c>
      <c r="D31">
        <v>7</v>
      </c>
      <c r="E31">
        <v>1</v>
      </c>
      <c r="F31">
        <v>188</v>
      </c>
      <c r="G31">
        <v>1</v>
      </c>
      <c r="H31">
        <v>69</v>
      </c>
    </row>
    <row r="32" spans="1:8">
      <c r="A32" t="s">
        <v>80</v>
      </c>
      <c r="B32">
        <v>14354</v>
      </c>
      <c r="C32">
        <v>2</v>
      </c>
      <c r="D32">
        <v>0</v>
      </c>
      <c r="E32">
        <v>0</v>
      </c>
      <c r="F32">
        <v>117</v>
      </c>
      <c r="G32">
        <v>14</v>
      </c>
      <c r="H32">
        <v>69</v>
      </c>
    </row>
    <row r="33" spans="1:8">
      <c r="A33" t="s">
        <v>47</v>
      </c>
      <c r="B33">
        <v>434534</v>
      </c>
      <c r="C33">
        <v>6</v>
      </c>
      <c r="D33">
        <v>13</v>
      </c>
      <c r="E33">
        <v>3</v>
      </c>
      <c r="F33">
        <v>162</v>
      </c>
      <c r="G33">
        <v>1</v>
      </c>
      <c r="H33">
        <v>66</v>
      </c>
    </row>
    <row r="34" spans="1:8">
      <c r="A34" t="s">
        <v>42</v>
      </c>
      <c r="B34">
        <v>544717</v>
      </c>
      <c r="C34">
        <v>9</v>
      </c>
      <c r="D34">
        <v>7</v>
      </c>
      <c r="E34">
        <v>1</v>
      </c>
      <c r="F34">
        <v>206</v>
      </c>
      <c r="G34">
        <v>2</v>
      </c>
      <c r="H34">
        <v>65</v>
      </c>
    </row>
    <row r="35" spans="1:8">
      <c r="A35" t="s">
        <v>75</v>
      </c>
      <c r="B35">
        <v>27351</v>
      </c>
      <c r="C35">
        <v>1</v>
      </c>
      <c r="D35">
        <v>1</v>
      </c>
      <c r="E35">
        <v>4</v>
      </c>
      <c r="F35">
        <v>175</v>
      </c>
      <c r="G35">
        <v>4</v>
      </c>
      <c r="H35">
        <v>64</v>
      </c>
    </row>
    <row r="36" spans="1:8">
      <c r="A36" t="s">
        <v>53</v>
      </c>
      <c r="B36">
        <v>228696</v>
      </c>
      <c r="C36">
        <v>6</v>
      </c>
      <c r="D36">
        <v>5</v>
      </c>
      <c r="E36">
        <v>2</v>
      </c>
      <c r="F36">
        <v>201</v>
      </c>
      <c r="G36">
        <v>3</v>
      </c>
      <c r="H36">
        <v>62</v>
      </c>
    </row>
    <row r="37" spans="1:8">
      <c r="A37" t="s">
        <v>69</v>
      </c>
      <c r="B37">
        <v>53976</v>
      </c>
      <c r="C37">
        <v>1</v>
      </c>
      <c r="D37">
        <v>0</v>
      </c>
      <c r="E37">
        <v>0</v>
      </c>
      <c r="F37">
        <v>279</v>
      </c>
      <c r="G37">
        <v>2</v>
      </c>
      <c r="H37">
        <v>61</v>
      </c>
    </row>
    <row r="38" spans="1:8">
      <c r="A38" t="s">
        <v>31</v>
      </c>
      <c r="B38">
        <v>2150945</v>
      </c>
      <c r="C38">
        <v>23</v>
      </c>
      <c r="D38">
        <v>37</v>
      </c>
      <c r="E38">
        <v>2</v>
      </c>
      <c r="F38">
        <v>289</v>
      </c>
      <c r="G38">
        <v>1</v>
      </c>
      <c r="H38">
        <v>60</v>
      </c>
    </row>
    <row r="39" spans="1:8">
      <c r="A39" t="s">
        <v>41</v>
      </c>
      <c r="B39">
        <v>743296</v>
      </c>
      <c r="C39">
        <v>9</v>
      </c>
      <c r="D39">
        <v>7</v>
      </c>
      <c r="E39">
        <v>1</v>
      </c>
      <c r="F39">
        <v>141</v>
      </c>
      <c r="G39">
        <v>1</v>
      </c>
      <c r="H39">
        <v>60</v>
      </c>
    </row>
    <row r="40" spans="1:8">
      <c r="A40" t="s">
        <v>61</v>
      </c>
      <c r="B40">
        <v>136507</v>
      </c>
      <c r="C40">
        <v>8</v>
      </c>
      <c r="D40">
        <v>0</v>
      </c>
      <c r="E40">
        <v>0</v>
      </c>
      <c r="F40">
        <v>195</v>
      </c>
      <c r="G40">
        <v>6</v>
      </c>
      <c r="H40">
        <v>59</v>
      </c>
    </row>
    <row r="41" spans="1:8">
      <c r="A41" t="s">
        <v>82</v>
      </c>
      <c r="B41">
        <v>8876</v>
      </c>
      <c r="C41">
        <v>4</v>
      </c>
      <c r="D41">
        <v>0</v>
      </c>
      <c r="E41">
        <v>0</v>
      </c>
      <c r="F41">
        <v>1290</v>
      </c>
      <c r="G41">
        <v>45</v>
      </c>
      <c r="H41">
        <v>57</v>
      </c>
    </row>
    <row r="42" spans="1:8">
      <c r="A42" t="s">
        <v>72</v>
      </c>
      <c r="B42">
        <v>38529</v>
      </c>
      <c r="C42">
        <v>1</v>
      </c>
      <c r="D42">
        <v>0</v>
      </c>
      <c r="E42">
        <v>0</v>
      </c>
      <c r="F42">
        <v>130</v>
      </c>
      <c r="G42">
        <v>3</v>
      </c>
      <c r="H42">
        <v>57</v>
      </c>
    </row>
    <row r="43" spans="1:8">
      <c r="A43" t="s">
        <v>37</v>
      </c>
      <c r="B43">
        <v>887356</v>
      </c>
      <c r="C43">
        <v>14</v>
      </c>
      <c r="D43">
        <v>7</v>
      </c>
      <c r="E43">
        <v>1</v>
      </c>
      <c r="F43">
        <v>188</v>
      </c>
      <c r="G43">
        <v>2</v>
      </c>
      <c r="H43">
        <v>49</v>
      </c>
    </row>
    <row r="44" spans="1:8">
      <c r="A44" t="s">
        <v>67</v>
      </c>
      <c r="B44">
        <v>63847</v>
      </c>
      <c r="C44">
        <v>2</v>
      </c>
      <c r="D44">
        <v>2</v>
      </c>
      <c r="E44">
        <v>3</v>
      </c>
      <c r="F44">
        <v>96</v>
      </c>
      <c r="G44">
        <v>3</v>
      </c>
      <c r="H44">
        <v>48</v>
      </c>
    </row>
    <row r="45" spans="1:8">
      <c r="A45" t="s">
        <v>30</v>
      </c>
      <c r="B45">
        <v>2414964</v>
      </c>
      <c r="C45">
        <v>20</v>
      </c>
      <c r="D45">
        <v>50</v>
      </c>
      <c r="E45">
        <v>2</v>
      </c>
      <c r="F45">
        <v>139</v>
      </c>
      <c r="G45">
        <v>1</v>
      </c>
      <c r="H45">
        <v>45</v>
      </c>
    </row>
    <row r="46" spans="1:8">
      <c r="A46" t="s">
        <v>66</v>
      </c>
      <c r="B46">
        <v>64111</v>
      </c>
      <c r="C46">
        <v>4</v>
      </c>
      <c r="D46">
        <v>0</v>
      </c>
      <c r="E46">
        <v>0</v>
      </c>
      <c r="F46">
        <v>78</v>
      </c>
      <c r="G46">
        <v>6</v>
      </c>
      <c r="H46">
        <v>45</v>
      </c>
    </row>
    <row r="47" spans="1:8">
      <c r="A47" t="s">
        <v>44</v>
      </c>
      <c r="B47">
        <v>462308</v>
      </c>
      <c r="C47">
        <v>10</v>
      </c>
      <c r="D47">
        <v>11</v>
      </c>
      <c r="E47">
        <v>2</v>
      </c>
      <c r="F47">
        <v>252</v>
      </c>
      <c r="G47">
        <v>2</v>
      </c>
      <c r="H47">
        <v>44</v>
      </c>
    </row>
    <row r="48" spans="1:8">
      <c r="A48" t="s">
        <v>58</v>
      </c>
      <c r="B48">
        <v>155423</v>
      </c>
      <c r="C48">
        <v>1</v>
      </c>
      <c r="D48">
        <v>4</v>
      </c>
      <c r="E48">
        <v>3</v>
      </c>
      <c r="F48">
        <v>199</v>
      </c>
      <c r="G48">
        <v>1</v>
      </c>
      <c r="H48">
        <v>44</v>
      </c>
    </row>
    <row r="49" spans="1:8">
      <c r="A49" t="s">
        <v>51</v>
      </c>
      <c r="B49">
        <v>271096</v>
      </c>
      <c r="C49">
        <v>6</v>
      </c>
      <c r="D49">
        <v>6</v>
      </c>
      <c r="E49">
        <v>2</v>
      </c>
      <c r="F49">
        <v>82</v>
      </c>
      <c r="G49">
        <v>2</v>
      </c>
      <c r="H49">
        <v>44</v>
      </c>
    </row>
    <row r="50" spans="1:8">
      <c r="A50" t="s">
        <v>70</v>
      </c>
      <c r="B50">
        <v>45681</v>
      </c>
      <c r="C50">
        <v>1</v>
      </c>
      <c r="D50">
        <v>0</v>
      </c>
      <c r="E50">
        <v>0</v>
      </c>
      <c r="F50">
        <v>54</v>
      </c>
      <c r="G50">
        <v>2</v>
      </c>
      <c r="H50">
        <v>43</v>
      </c>
    </row>
    <row r="51" spans="1:8">
      <c r="A51" t="s">
        <v>59</v>
      </c>
      <c r="B51">
        <v>149665</v>
      </c>
      <c r="C51">
        <v>2</v>
      </c>
      <c r="D51">
        <v>1</v>
      </c>
      <c r="E51">
        <v>1</v>
      </c>
      <c r="F51">
        <v>130</v>
      </c>
      <c r="G51">
        <v>1</v>
      </c>
      <c r="H51">
        <v>38</v>
      </c>
    </row>
    <row r="52" spans="1:8">
      <c r="A52" t="s">
        <v>79</v>
      </c>
      <c r="B52">
        <v>17414</v>
      </c>
      <c r="C52">
        <v>2</v>
      </c>
      <c r="D52">
        <v>0</v>
      </c>
      <c r="E52">
        <v>0</v>
      </c>
      <c r="F52">
        <v>192</v>
      </c>
      <c r="G52">
        <v>12</v>
      </c>
      <c r="H52">
        <v>35</v>
      </c>
    </row>
    <row r="53" spans="1:8">
      <c r="A53" t="s">
        <v>83</v>
      </c>
      <c r="B53">
        <v>3002</v>
      </c>
      <c r="C53">
        <v>0</v>
      </c>
      <c r="D53">
        <v>0</v>
      </c>
      <c r="E53">
        <v>0</v>
      </c>
      <c r="F53">
        <v>0</v>
      </c>
      <c r="G53">
        <v>0</v>
      </c>
      <c r="H53">
        <v>34</v>
      </c>
    </row>
    <row r="54" spans="1:8">
      <c r="A54" t="s">
        <v>81</v>
      </c>
      <c r="B54">
        <v>12726</v>
      </c>
      <c r="C54">
        <v>2</v>
      </c>
      <c r="D54">
        <v>0</v>
      </c>
      <c r="E54">
        <v>0</v>
      </c>
      <c r="F54">
        <v>385</v>
      </c>
      <c r="G54">
        <v>16</v>
      </c>
      <c r="H54">
        <v>33</v>
      </c>
    </row>
    <row r="55" spans="1:8">
      <c r="A55" t="s">
        <v>68</v>
      </c>
      <c r="B55">
        <v>60164</v>
      </c>
      <c r="C55">
        <v>0</v>
      </c>
      <c r="D55">
        <v>1</v>
      </c>
      <c r="E55">
        <v>2</v>
      </c>
      <c r="F55">
        <v>283</v>
      </c>
      <c r="G55">
        <v>0</v>
      </c>
      <c r="H55">
        <v>30</v>
      </c>
    </row>
    <row r="56" spans="1:8">
      <c r="A56" t="s">
        <v>76</v>
      </c>
      <c r="B56">
        <v>21579</v>
      </c>
      <c r="C56">
        <v>2</v>
      </c>
      <c r="D56">
        <v>1</v>
      </c>
      <c r="E56">
        <v>5</v>
      </c>
      <c r="F56">
        <v>0</v>
      </c>
      <c r="G56">
        <v>9</v>
      </c>
      <c r="H56">
        <v>28</v>
      </c>
    </row>
    <row r="57" spans="1:8">
      <c r="A57" t="s">
        <v>73</v>
      </c>
      <c r="B57">
        <v>30920</v>
      </c>
      <c r="C57">
        <v>2</v>
      </c>
      <c r="D57">
        <v>1</v>
      </c>
      <c r="E57">
        <v>3</v>
      </c>
      <c r="F57">
        <v>83</v>
      </c>
      <c r="G57">
        <v>7</v>
      </c>
      <c r="H57">
        <v>27</v>
      </c>
    </row>
    <row r="58" spans="1:8">
      <c r="A58" t="s">
        <v>56</v>
      </c>
      <c r="B58">
        <v>181649</v>
      </c>
      <c r="C58">
        <v>6</v>
      </c>
      <c r="D58">
        <v>1</v>
      </c>
      <c r="E58">
        <v>1</v>
      </c>
      <c r="F58">
        <v>149</v>
      </c>
      <c r="G58">
        <v>3</v>
      </c>
      <c r="H58">
        <v>26</v>
      </c>
    </row>
    <row r="59" spans="1:8">
      <c r="A59" t="s">
        <v>65</v>
      </c>
      <c r="B59">
        <v>76578</v>
      </c>
      <c r="C59">
        <v>1</v>
      </c>
      <c r="D59">
        <v>1</v>
      </c>
      <c r="E59">
        <v>1</v>
      </c>
      <c r="F59">
        <v>273</v>
      </c>
      <c r="G59">
        <v>1</v>
      </c>
      <c r="H59">
        <v>19</v>
      </c>
    </row>
    <row r="60" spans="1:8">
      <c r="A60" t="s">
        <v>74</v>
      </c>
      <c r="B60">
        <v>27926</v>
      </c>
      <c r="C60">
        <v>2</v>
      </c>
      <c r="D60">
        <v>0</v>
      </c>
      <c r="E60">
        <v>0</v>
      </c>
      <c r="F60">
        <v>53</v>
      </c>
      <c r="G60">
        <v>7</v>
      </c>
      <c r="H60">
        <v>14</v>
      </c>
    </row>
    <row r="61" spans="1:8">
      <c r="A61" t="s">
        <v>84</v>
      </c>
      <c r="B61">
        <v>1111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EE7B-FDB9-41F6-AE16-C331AA3DDD33}">
  <dimension ref="A3:H61"/>
  <sheetViews>
    <sheetView tabSelected="1" workbookViewId="0">
      <selection activeCell="L37" sqref="L37"/>
    </sheetView>
  </sheetViews>
  <sheetFormatPr defaultColWidth="9" defaultRowHeight="15"/>
  <cols>
    <col min="1" max="1" width="21.85546875" bestFit="1" customWidth="1"/>
    <col min="2" max="2" width="19" bestFit="1" customWidth="1"/>
    <col min="3" max="3" width="15.140625" bestFit="1" customWidth="1"/>
    <col min="4" max="4" width="17" bestFit="1" customWidth="1"/>
    <col min="5" max="5" width="15.85546875" bestFit="1" customWidth="1"/>
    <col min="6" max="6" width="16" bestFit="1" customWidth="1"/>
    <col min="7" max="7" width="24.85546875" bestFit="1" customWidth="1"/>
    <col min="8" max="8" width="10.5703125" bestFit="1" customWidth="1"/>
    <col min="9" max="9" width="22.85546875" bestFit="1" customWidth="1"/>
  </cols>
  <sheetData>
    <row r="3" spans="1:8">
      <c r="A3" s="1" t="s">
        <v>1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</row>
    <row r="4" spans="1:8">
      <c r="A4" t="s">
        <v>81</v>
      </c>
      <c r="B4">
        <v>45113</v>
      </c>
      <c r="C4">
        <v>27.96</v>
      </c>
      <c r="D4">
        <v>10.1</v>
      </c>
      <c r="E4">
        <v>32.799999999999997</v>
      </c>
      <c r="F4">
        <v>18</v>
      </c>
      <c r="G4">
        <v>7.7</v>
      </c>
      <c r="H4">
        <v>21.2</v>
      </c>
    </row>
    <row r="5" spans="1:8">
      <c r="A5" t="s">
        <v>82</v>
      </c>
      <c r="B5">
        <v>46838</v>
      </c>
      <c r="C5">
        <v>27.41</v>
      </c>
      <c r="D5">
        <v>9.6999999999999993</v>
      </c>
      <c r="E5">
        <v>32.4</v>
      </c>
      <c r="F5">
        <v>17.899999999999999</v>
      </c>
      <c r="G5">
        <v>8.6999999999999993</v>
      </c>
      <c r="H5">
        <v>20.91</v>
      </c>
    </row>
    <row r="6" spans="1:8">
      <c r="A6" t="s">
        <v>84</v>
      </c>
      <c r="B6">
        <v>64542</v>
      </c>
      <c r="C6">
        <v>29.08</v>
      </c>
      <c r="D6">
        <v>8.8000000000000007</v>
      </c>
      <c r="E6">
        <v>29.5</v>
      </c>
      <c r="F6">
        <v>14.3</v>
      </c>
      <c r="G6">
        <v>11</v>
      </c>
      <c r="H6">
        <v>20.79</v>
      </c>
    </row>
    <row r="7" spans="1:8">
      <c r="A7" t="s">
        <v>79</v>
      </c>
      <c r="B7">
        <v>56887</v>
      </c>
      <c r="C7">
        <v>28.18</v>
      </c>
      <c r="D7">
        <v>9</v>
      </c>
      <c r="E7">
        <v>31</v>
      </c>
      <c r="F7">
        <v>13.3</v>
      </c>
      <c r="G7">
        <v>8.1</v>
      </c>
      <c r="H7">
        <v>20.309999999999999</v>
      </c>
    </row>
    <row r="8" spans="1:8">
      <c r="A8" t="s">
        <v>83</v>
      </c>
      <c r="B8">
        <v>59422</v>
      </c>
      <c r="C8">
        <v>28.19</v>
      </c>
      <c r="D8">
        <v>8.5</v>
      </c>
      <c r="E8">
        <v>30.4</v>
      </c>
      <c r="F8">
        <v>11.5</v>
      </c>
      <c r="G8">
        <v>7.8</v>
      </c>
      <c r="H8">
        <v>19.89</v>
      </c>
    </row>
    <row r="9" spans="1:8">
      <c r="A9" t="s">
        <v>70</v>
      </c>
      <c r="B9">
        <v>66329</v>
      </c>
      <c r="C9">
        <v>28.02</v>
      </c>
      <c r="D9">
        <v>8.6999999999999993</v>
      </c>
      <c r="E9">
        <v>29.7</v>
      </c>
      <c r="F9">
        <v>11.6</v>
      </c>
      <c r="G9">
        <v>7.2</v>
      </c>
      <c r="H9">
        <v>19.72</v>
      </c>
    </row>
    <row r="10" spans="1:8">
      <c r="A10" t="s">
        <v>77</v>
      </c>
      <c r="B10">
        <v>58489</v>
      </c>
      <c r="C10">
        <v>27.69</v>
      </c>
      <c r="D10">
        <v>8.3000000000000007</v>
      </c>
      <c r="E10">
        <v>30.2</v>
      </c>
      <c r="F10">
        <v>13.5</v>
      </c>
      <c r="G10">
        <v>6.2</v>
      </c>
      <c r="H10">
        <v>19.649999999999999</v>
      </c>
    </row>
    <row r="11" spans="1:8">
      <c r="A11" t="s">
        <v>71</v>
      </c>
      <c r="B11">
        <v>49441</v>
      </c>
      <c r="C11">
        <v>25.24</v>
      </c>
      <c r="D11">
        <v>9.6</v>
      </c>
      <c r="E11">
        <v>31.6</v>
      </c>
      <c r="F11">
        <v>14.3</v>
      </c>
      <c r="G11">
        <v>7.6</v>
      </c>
      <c r="H11">
        <v>19.43</v>
      </c>
    </row>
    <row r="12" spans="1:8">
      <c r="A12" t="s">
        <v>72</v>
      </c>
      <c r="B12">
        <v>68141</v>
      </c>
      <c r="C12">
        <v>27</v>
      </c>
      <c r="D12">
        <v>8.5</v>
      </c>
      <c r="E12">
        <v>30</v>
      </c>
      <c r="F12">
        <v>10.3</v>
      </c>
      <c r="G12">
        <v>6.4</v>
      </c>
      <c r="H12">
        <v>19.100000000000001</v>
      </c>
    </row>
    <row r="13" spans="1:8">
      <c r="A13" t="s">
        <v>66</v>
      </c>
      <c r="B13">
        <v>52345</v>
      </c>
      <c r="C13">
        <v>22.85</v>
      </c>
      <c r="D13">
        <v>10.1</v>
      </c>
      <c r="E13">
        <v>32.1</v>
      </c>
      <c r="F13">
        <v>15.9</v>
      </c>
      <c r="G13">
        <v>7.7</v>
      </c>
      <c r="H13">
        <v>18.84</v>
      </c>
    </row>
    <row r="14" spans="1:8">
      <c r="A14" t="s">
        <v>69</v>
      </c>
      <c r="B14">
        <v>63336</v>
      </c>
      <c r="C14">
        <v>26.06</v>
      </c>
      <c r="D14">
        <v>8.6</v>
      </c>
      <c r="E14">
        <v>28.6</v>
      </c>
      <c r="F14">
        <v>12.1</v>
      </c>
      <c r="G14">
        <v>6.4</v>
      </c>
      <c r="H14">
        <v>18.71</v>
      </c>
    </row>
    <row r="15" spans="1:8">
      <c r="A15" t="s">
        <v>62</v>
      </c>
      <c r="B15">
        <v>74158</v>
      </c>
      <c r="C15">
        <v>27.41</v>
      </c>
      <c r="D15">
        <v>7.6</v>
      </c>
      <c r="E15">
        <v>28.2</v>
      </c>
      <c r="F15">
        <v>9.1999999999999993</v>
      </c>
      <c r="G15">
        <v>6.2</v>
      </c>
      <c r="H15">
        <v>18.63</v>
      </c>
    </row>
    <row r="16" spans="1:8">
      <c r="A16" t="s">
        <v>64</v>
      </c>
      <c r="B16">
        <v>53176</v>
      </c>
      <c r="C16">
        <v>22.08</v>
      </c>
      <c r="D16">
        <v>9.6999999999999993</v>
      </c>
      <c r="E16">
        <v>31.4</v>
      </c>
      <c r="F16">
        <v>14.3</v>
      </c>
      <c r="G16">
        <v>11.2</v>
      </c>
      <c r="H16">
        <v>18.52</v>
      </c>
    </row>
    <row r="17" spans="1:8">
      <c r="A17" t="s">
        <v>78</v>
      </c>
      <c r="B17">
        <v>55981</v>
      </c>
      <c r="C17">
        <v>23.27</v>
      </c>
      <c r="D17">
        <v>8.9</v>
      </c>
      <c r="E17">
        <v>29.7</v>
      </c>
      <c r="F17">
        <v>10.9</v>
      </c>
      <c r="G17">
        <v>10.199999999999999</v>
      </c>
      <c r="H17">
        <v>18.100000000000001</v>
      </c>
    </row>
    <row r="18" spans="1:8">
      <c r="A18" t="s">
        <v>67</v>
      </c>
      <c r="B18">
        <v>61571</v>
      </c>
      <c r="C18">
        <v>19.8</v>
      </c>
      <c r="D18">
        <v>10.4</v>
      </c>
      <c r="E18">
        <v>34.299999999999997</v>
      </c>
      <c r="F18">
        <v>13.3</v>
      </c>
      <c r="G18">
        <v>8.1</v>
      </c>
      <c r="H18">
        <v>17.8</v>
      </c>
    </row>
    <row r="19" spans="1:8">
      <c r="A19" t="s">
        <v>75</v>
      </c>
      <c r="B19">
        <v>47442</v>
      </c>
      <c r="C19">
        <v>17.78</v>
      </c>
      <c r="D19">
        <v>10.6</v>
      </c>
      <c r="E19">
        <v>32.9</v>
      </c>
      <c r="F19">
        <v>18.5</v>
      </c>
      <c r="G19">
        <v>7.1</v>
      </c>
      <c r="H19">
        <v>17.260000000000002</v>
      </c>
    </row>
    <row r="20" spans="1:8">
      <c r="A20" t="s">
        <v>57</v>
      </c>
      <c r="B20">
        <v>59108</v>
      </c>
      <c r="C20">
        <v>20.6</v>
      </c>
      <c r="D20">
        <v>9</v>
      </c>
      <c r="E20">
        <v>31.1</v>
      </c>
      <c r="F20">
        <v>13.9</v>
      </c>
      <c r="G20">
        <v>7</v>
      </c>
      <c r="H20">
        <v>17.25</v>
      </c>
    </row>
    <row r="21" spans="1:8">
      <c r="A21" t="s">
        <v>56</v>
      </c>
      <c r="B21">
        <v>47599</v>
      </c>
      <c r="C21">
        <v>12.91</v>
      </c>
      <c r="D21">
        <v>14.4</v>
      </c>
      <c r="E21">
        <v>36.200000000000003</v>
      </c>
      <c r="F21">
        <v>18.100000000000001</v>
      </c>
      <c r="G21">
        <v>8.9</v>
      </c>
      <c r="H21">
        <v>16.89</v>
      </c>
    </row>
    <row r="22" spans="1:8">
      <c r="A22" t="s">
        <v>74</v>
      </c>
      <c r="B22">
        <v>57779</v>
      </c>
      <c r="C22">
        <v>16.37</v>
      </c>
      <c r="D22">
        <v>10.8</v>
      </c>
      <c r="E22">
        <v>33.6</v>
      </c>
      <c r="F22">
        <v>12.4</v>
      </c>
      <c r="G22">
        <v>12.2</v>
      </c>
      <c r="H22">
        <v>16.75</v>
      </c>
    </row>
    <row r="23" spans="1:8">
      <c r="A23" t="s">
        <v>53</v>
      </c>
      <c r="B23">
        <v>54718</v>
      </c>
      <c r="C23">
        <v>18.21</v>
      </c>
      <c r="D23">
        <v>9.4</v>
      </c>
      <c r="E23">
        <v>30.5</v>
      </c>
      <c r="F23">
        <v>17.3</v>
      </c>
      <c r="G23">
        <v>7.2</v>
      </c>
      <c r="H23">
        <v>16.66</v>
      </c>
    </row>
    <row r="24" spans="1:8">
      <c r="A24" t="s">
        <v>61</v>
      </c>
      <c r="B24">
        <v>56071</v>
      </c>
      <c r="C24">
        <v>17.84</v>
      </c>
      <c r="D24">
        <v>9.6</v>
      </c>
      <c r="E24">
        <v>31.1</v>
      </c>
      <c r="F24">
        <v>15.8</v>
      </c>
      <c r="G24">
        <v>7.7</v>
      </c>
      <c r="H24">
        <v>16.55</v>
      </c>
    </row>
    <row r="25" spans="1:8">
      <c r="A25" t="s">
        <v>58</v>
      </c>
      <c r="B25">
        <v>68744</v>
      </c>
      <c r="C25">
        <v>14.02</v>
      </c>
      <c r="D25">
        <v>12.3</v>
      </c>
      <c r="E25">
        <v>35.9</v>
      </c>
      <c r="F25">
        <v>14.1</v>
      </c>
      <c r="G25">
        <v>10.199999999999999</v>
      </c>
      <c r="H25">
        <v>16.5</v>
      </c>
    </row>
    <row r="26" spans="1:8">
      <c r="A26" t="s">
        <v>76</v>
      </c>
      <c r="B26">
        <v>59422</v>
      </c>
      <c r="C26">
        <v>14.62</v>
      </c>
      <c r="D26">
        <v>11.4</v>
      </c>
      <c r="E26">
        <v>34.4</v>
      </c>
      <c r="F26">
        <v>10.3</v>
      </c>
      <c r="G26">
        <v>13</v>
      </c>
      <c r="H26">
        <v>16.190000000000001</v>
      </c>
    </row>
    <row r="27" spans="1:8">
      <c r="A27" t="s">
        <v>51</v>
      </c>
      <c r="B27">
        <v>58998</v>
      </c>
      <c r="C27">
        <v>11.24</v>
      </c>
      <c r="D27">
        <v>12.9</v>
      </c>
      <c r="E27">
        <v>38</v>
      </c>
      <c r="F27">
        <v>16.3</v>
      </c>
      <c r="G27">
        <v>10.5</v>
      </c>
      <c r="H27">
        <v>16.100000000000001</v>
      </c>
    </row>
    <row r="28" spans="1:8">
      <c r="A28" t="s">
        <v>49</v>
      </c>
      <c r="B28">
        <v>79455</v>
      </c>
      <c r="C28">
        <v>20.07</v>
      </c>
      <c r="D28">
        <v>8.4</v>
      </c>
      <c r="E28">
        <v>27.9</v>
      </c>
      <c r="F28">
        <v>10.6</v>
      </c>
      <c r="G28">
        <v>6.8</v>
      </c>
      <c r="H28">
        <v>16.05</v>
      </c>
    </row>
    <row r="29" spans="1:8">
      <c r="A29" t="s">
        <v>55</v>
      </c>
      <c r="B29">
        <v>87792</v>
      </c>
      <c r="C29">
        <v>21.23</v>
      </c>
      <c r="D29">
        <v>7.7</v>
      </c>
      <c r="E29">
        <v>28.2</v>
      </c>
      <c r="F29">
        <v>8.4</v>
      </c>
      <c r="G29">
        <v>5.4</v>
      </c>
      <c r="H29">
        <v>16.03</v>
      </c>
    </row>
    <row r="30" spans="1:8">
      <c r="A30" t="s">
        <v>44</v>
      </c>
      <c r="B30">
        <v>62058</v>
      </c>
      <c r="C30">
        <v>11.39</v>
      </c>
      <c r="D30">
        <v>13.1</v>
      </c>
      <c r="E30">
        <v>36</v>
      </c>
      <c r="F30">
        <v>17.100000000000001</v>
      </c>
      <c r="G30">
        <v>9.5</v>
      </c>
      <c r="H30">
        <v>15.89</v>
      </c>
    </row>
    <row r="31" spans="1:8">
      <c r="A31" t="s">
        <v>31</v>
      </c>
      <c r="B31">
        <v>65984</v>
      </c>
      <c r="C31">
        <v>11.56</v>
      </c>
      <c r="D31">
        <v>11.7</v>
      </c>
      <c r="E31">
        <v>39.1</v>
      </c>
      <c r="F31">
        <v>14.3</v>
      </c>
      <c r="G31">
        <v>8.9</v>
      </c>
      <c r="H31">
        <v>15.73</v>
      </c>
    </row>
    <row r="32" spans="1:8">
      <c r="A32" t="s">
        <v>36</v>
      </c>
      <c r="B32">
        <v>61401</v>
      </c>
      <c r="C32">
        <v>12.23</v>
      </c>
      <c r="D32">
        <v>12.2</v>
      </c>
      <c r="E32">
        <v>34.6</v>
      </c>
      <c r="F32">
        <v>17.100000000000001</v>
      </c>
      <c r="G32">
        <v>8.8000000000000007</v>
      </c>
      <c r="H32">
        <v>15.72</v>
      </c>
    </row>
    <row r="33" spans="1:8">
      <c r="A33" t="s">
        <v>30</v>
      </c>
      <c r="B33">
        <v>76409</v>
      </c>
      <c r="C33">
        <v>14.45</v>
      </c>
      <c r="D33">
        <v>10.6</v>
      </c>
      <c r="E33">
        <v>34.700000000000003</v>
      </c>
      <c r="F33">
        <v>11.2</v>
      </c>
      <c r="G33">
        <v>9.5</v>
      </c>
      <c r="H33">
        <v>15.7</v>
      </c>
    </row>
    <row r="34" spans="1:8">
      <c r="A34" t="s">
        <v>37</v>
      </c>
      <c r="B34">
        <v>58583</v>
      </c>
      <c r="C34">
        <v>10.97</v>
      </c>
      <c r="D34">
        <v>12.5</v>
      </c>
      <c r="E34">
        <v>35</v>
      </c>
      <c r="F34">
        <v>18.3</v>
      </c>
      <c r="G34">
        <v>9.6</v>
      </c>
      <c r="H34">
        <v>15.55</v>
      </c>
    </row>
    <row r="35" spans="1:8">
      <c r="A35" t="s">
        <v>60</v>
      </c>
      <c r="B35">
        <v>92149</v>
      </c>
      <c r="C35">
        <v>19.2</v>
      </c>
      <c r="D35">
        <v>8.6</v>
      </c>
      <c r="E35">
        <v>26.9</v>
      </c>
      <c r="F35">
        <v>7.9</v>
      </c>
      <c r="G35">
        <v>8.6</v>
      </c>
      <c r="H35">
        <v>15.51</v>
      </c>
    </row>
    <row r="36" spans="1:8">
      <c r="A36" t="s">
        <v>63</v>
      </c>
      <c r="B36">
        <v>65791</v>
      </c>
      <c r="C36">
        <v>15.36</v>
      </c>
      <c r="D36">
        <v>10.5</v>
      </c>
      <c r="E36">
        <v>29.9</v>
      </c>
      <c r="F36">
        <v>11.5</v>
      </c>
      <c r="G36">
        <v>9</v>
      </c>
      <c r="H36">
        <v>15.3</v>
      </c>
    </row>
    <row r="37" spans="1:8">
      <c r="A37" t="s">
        <v>45</v>
      </c>
      <c r="B37">
        <v>86136</v>
      </c>
      <c r="C37">
        <v>15.29</v>
      </c>
      <c r="D37">
        <v>9.8000000000000007</v>
      </c>
      <c r="E37">
        <v>30.1</v>
      </c>
      <c r="F37">
        <v>10.5</v>
      </c>
      <c r="G37">
        <v>11.7</v>
      </c>
      <c r="H37">
        <v>15.3</v>
      </c>
    </row>
    <row r="38" spans="1:8">
      <c r="A38" t="s">
        <v>47</v>
      </c>
      <c r="B38">
        <v>85031</v>
      </c>
      <c r="C38">
        <v>13.64</v>
      </c>
      <c r="D38">
        <v>11.1</v>
      </c>
      <c r="E38">
        <v>31.7</v>
      </c>
      <c r="F38">
        <v>11.6</v>
      </c>
      <c r="G38">
        <v>11.5</v>
      </c>
      <c r="H38">
        <v>15.3</v>
      </c>
    </row>
    <row r="39" spans="1:8">
      <c r="A39" t="s">
        <v>52</v>
      </c>
      <c r="B39">
        <v>127601</v>
      </c>
      <c r="C39">
        <v>22.29</v>
      </c>
      <c r="D39">
        <v>7.2</v>
      </c>
      <c r="E39">
        <v>23.3</v>
      </c>
      <c r="F39">
        <v>6</v>
      </c>
      <c r="G39">
        <v>4.2</v>
      </c>
      <c r="H39">
        <v>15.23</v>
      </c>
    </row>
    <row r="40" spans="1:8">
      <c r="A40" t="s">
        <v>43</v>
      </c>
      <c r="B40">
        <v>87366</v>
      </c>
      <c r="C40">
        <v>19.62</v>
      </c>
      <c r="D40">
        <v>8.1999999999999993</v>
      </c>
      <c r="E40">
        <v>25.2</v>
      </c>
      <c r="F40">
        <v>7.8</v>
      </c>
      <c r="G40">
        <v>7.1</v>
      </c>
      <c r="H40">
        <v>15.17</v>
      </c>
    </row>
    <row r="41" spans="1:8">
      <c r="A41" t="s">
        <v>65</v>
      </c>
      <c r="B41">
        <v>56278</v>
      </c>
      <c r="C41">
        <v>12.37</v>
      </c>
      <c r="D41">
        <v>10.4</v>
      </c>
      <c r="E41">
        <v>34</v>
      </c>
      <c r="F41">
        <v>16.3</v>
      </c>
      <c r="G41">
        <v>8.3000000000000007</v>
      </c>
      <c r="H41">
        <v>15.11</v>
      </c>
    </row>
    <row r="42" spans="1:8">
      <c r="A42" t="s">
        <v>73</v>
      </c>
      <c r="B42">
        <v>63803</v>
      </c>
      <c r="C42">
        <v>14.45</v>
      </c>
      <c r="D42">
        <v>10.1</v>
      </c>
      <c r="E42">
        <v>31.8</v>
      </c>
      <c r="F42">
        <v>15.5</v>
      </c>
      <c r="G42">
        <v>4.5</v>
      </c>
      <c r="H42">
        <v>15.07</v>
      </c>
    </row>
    <row r="43" spans="1:8">
      <c r="A43" t="s">
        <v>48</v>
      </c>
      <c r="B43">
        <v>100662</v>
      </c>
      <c r="C43">
        <v>19.559999999999999</v>
      </c>
      <c r="D43">
        <v>7.5</v>
      </c>
      <c r="E43">
        <v>28</v>
      </c>
      <c r="F43">
        <v>6.5</v>
      </c>
      <c r="G43">
        <v>4.5</v>
      </c>
      <c r="H43">
        <v>15</v>
      </c>
    </row>
    <row r="44" spans="1:8">
      <c r="A44" t="s">
        <v>42</v>
      </c>
      <c r="B44">
        <v>64501</v>
      </c>
      <c r="C44">
        <v>13.04</v>
      </c>
      <c r="D44">
        <v>10.8</v>
      </c>
      <c r="E44">
        <v>33.1</v>
      </c>
      <c r="F44">
        <v>13</v>
      </c>
      <c r="G44">
        <v>7.4</v>
      </c>
      <c r="H44">
        <v>14.92</v>
      </c>
    </row>
    <row r="45" spans="1:8">
      <c r="A45" t="s">
        <v>46</v>
      </c>
      <c r="B45">
        <v>83678</v>
      </c>
      <c r="C45">
        <v>15.74</v>
      </c>
      <c r="D45">
        <v>10</v>
      </c>
      <c r="E45">
        <v>30.1</v>
      </c>
      <c r="F45">
        <v>9.3000000000000007</v>
      </c>
      <c r="G45">
        <v>6.2</v>
      </c>
      <c r="H45">
        <v>14.86</v>
      </c>
    </row>
    <row r="46" spans="1:8">
      <c r="A46" t="s">
        <v>59</v>
      </c>
      <c r="B46">
        <v>60319</v>
      </c>
      <c r="C46">
        <v>10.3</v>
      </c>
      <c r="D46">
        <v>12.3</v>
      </c>
      <c r="E46">
        <v>35.1</v>
      </c>
      <c r="F46">
        <v>14.5</v>
      </c>
      <c r="G46">
        <v>8.9</v>
      </c>
      <c r="H46">
        <v>14.8</v>
      </c>
    </row>
    <row r="47" spans="1:8">
      <c r="A47" t="s">
        <v>50</v>
      </c>
      <c r="B47">
        <v>93015</v>
      </c>
      <c r="C47">
        <v>16.440000000000001</v>
      </c>
      <c r="D47">
        <v>8.8000000000000007</v>
      </c>
      <c r="E47">
        <v>27.5</v>
      </c>
      <c r="F47">
        <v>10.7</v>
      </c>
      <c r="G47">
        <v>8</v>
      </c>
      <c r="H47">
        <v>14.77</v>
      </c>
    </row>
    <row r="48" spans="1:8">
      <c r="A48" t="s">
        <v>80</v>
      </c>
      <c r="B48">
        <v>73204</v>
      </c>
      <c r="C48">
        <v>15.27</v>
      </c>
      <c r="D48">
        <v>8.6</v>
      </c>
      <c r="E48">
        <v>29.6</v>
      </c>
      <c r="F48">
        <v>9</v>
      </c>
      <c r="G48">
        <v>11</v>
      </c>
      <c r="H48">
        <v>14.7</v>
      </c>
    </row>
    <row r="49" spans="1:8">
      <c r="A49" t="s">
        <v>27</v>
      </c>
      <c r="B49">
        <v>75624</v>
      </c>
      <c r="C49">
        <v>13.65</v>
      </c>
      <c r="D49">
        <v>10.3</v>
      </c>
      <c r="E49">
        <v>28.8</v>
      </c>
      <c r="F49">
        <v>13.2</v>
      </c>
      <c r="G49">
        <v>10.199999999999999</v>
      </c>
      <c r="H49">
        <v>14.7</v>
      </c>
    </row>
    <row r="50" spans="1:8">
      <c r="A50" t="s">
        <v>39</v>
      </c>
      <c r="B50">
        <v>90961</v>
      </c>
      <c r="C50">
        <v>15.57</v>
      </c>
      <c r="D50">
        <v>9.3000000000000007</v>
      </c>
      <c r="E50">
        <v>28.9</v>
      </c>
      <c r="F50">
        <v>9.1</v>
      </c>
      <c r="G50">
        <v>8.1999999999999993</v>
      </c>
      <c r="H50">
        <v>14.62</v>
      </c>
    </row>
    <row r="51" spans="1:8">
      <c r="A51" t="s">
        <v>34</v>
      </c>
      <c r="B51">
        <v>72953</v>
      </c>
      <c r="C51">
        <v>14.08</v>
      </c>
      <c r="D51">
        <v>9.9</v>
      </c>
      <c r="E51">
        <v>30.7</v>
      </c>
      <c r="F51">
        <v>12.5</v>
      </c>
      <c r="G51">
        <v>6.4</v>
      </c>
      <c r="H51">
        <v>14.6</v>
      </c>
    </row>
    <row r="52" spans="1:8">
      <c r="A52" t="s">
        <v>41</v>
      </c>
      <c r="B52">
        <v>70685</v>
      </c>
      <c r="C52">
        <v>12.77</v>
      </c>
      <c r="D52">
        <v>11</v>
      </c>
      <c r="E52">
        <v>29.6</v>
      </c>
      <c r="F52">
        <v>13.9</v>
      </c>
      <c r="G52">
        <v>7.7</v>
      </c>
      <c r="H52">
        <v>14.46</v>
      </c>
    </row>
    <row r="53" spans="1:8">
      <c r="A53" t="s">
        <v>54</v>
      </c>
      <c r="B53">
        <v>80668</v>
      </c>
      <c r="C53">
        <v>12.49</v>
      </c>
      <c r="D53">
        <v>9.8000000000000007</v>
      </c>
      <c r="E53">
        <v>30.6</v>
      </c>
      <c r="F53">
        <v>14.8</v>
      </c>
      <c r="G53">
        <v>5.9</v>
      </c>
      <c r="H53">
        <v>14.11</v>
      </c>
    </row>
    <row r="54" spans="1:8">
      <c r="A54" t="s">
        <v>68</v>
      </c>
      <c r="B54">
        <v>91185</v>
      </c>
      <c r="C54">
        <v>12.69</v>
      </c>
      <c r="D54">
        <v>10.4</v>
      </c>
      <c r="E54">
        <v>31.8</v>
      </c>
      <c r="F54">
        <v>7.9</v>
      </c>
      <c r="G54">
        <v>8.3000000000000007</v>
      </c>
      <c r="H54">
        <v>14.07</v>
      </c>
    </row>
    <row r="55" spans="1:8">
      <c r="A55" t="s">
        <v>35</v>
      </c>
      <c r="B55">
        <v>106484</v>
      </c>
      <c r="C55">
        <v>15.82</v>
      </c>
      <c r="D55">
        <v>8.8000000000000007</v>
      </c>
      <c r="E55">
        <v>28.1</v>
      </c>
      <c r="F55">
        <v>7.2</v>
      </c>
      <c r="G55">
        <v>5.4</v>
      </c>
      <c r="H55">
        <v>14</v>
      </c>
    </row>
    <row r="56" spans="1:8">
      <c r="A56" t="s">
        <v>28</v>
      </c>
      <c r="B56">
        <v>87126</v>
      </c>
      <c r="C56">
        <v>14.07</v>
      </c>
      <c r="D56">
        <v>9</v>
      </c>
      <c r="E56">
        <v>28.4</v>
      </c>
      <c r="F56">
        <v>9.5</v>
      </c>
      <c r="G56">
        <v>8.1999999999999993</v>
      </c>
      <c r="H56">
        <v>13.91</v>
      </c>
    </row>
    <row r="57" spans="1:8">
      <c r="A57" t="s">
        <v>29</v>
      </c>
      <c r="B57">
        <v>98786</v>
      </c>
      <c r="C57">
        <v>14.79</v>
      </c>
      <c r="D57">
        <v>9.1</v>
      </c>
      <c r="E57">
        <v>23</v>
      </c>
      <c r="F57">
        <v>9</v>
      </c>
      <c r="G57">
        <v>7.5</v>
      </c>
      <c r="H57">
        <v>13.29</v>
      </c>
    </row>
    <row r="58" spans="1:8">
      <c r="A58" t="s">
        <v>38</v>
      </c>
      <c r="B58">
        <v>121722</v>
      </c>
      <c r="C58">
        <v>15.79</v>
      </c>
      <c r="D58">
        <v>8.8000000000000007</v>
      </c>
      <c r="E58">
        <v>19</v>
      </c>
      <c r="F58">
        <v>10</v>
      </c>
      <c r="G58">
        <v>4.9000000000000004</v>
      </c>
      <c r="H58">
        <v>12.86</v>
      </c>
    </row>
    <row r="59" spans="1:8">
      <c r="A59" t="s">
        <v>33</v>
      </c>
      <c r="B59">
        <v>113518</v>
      </c>
      <c r="C59">
        <v>13.91</v>
      </c>
      <c r="D59">
        <v>9.1</v>
      </c>
      <c r="E59">
        <v>24.3</v>
      </c>
      <c r="F59">
        <v>8.6</v>
      </c>
      <c r="G59">
        <v>4.9000000000000004</v>
      </c>
      <c r="H59">
        <v>12.83</v>
      </c>
    </row>
    <row r="60" spans="1:8">
      <c r="A60" t="s">
        <v>40</v>
      </c>
      <c r="B60">
        <v>132369</v>
      </c>
      <c r="C60">
        <v>16.170000000000002</v>
      </c>
      <c r="D60">
        <v>8.3000000000000007</v>
      </c>
      <c r="E60">
        <v>21.1</v>
      </c>
      <c r="F60">
        <v>5.5</v>
      </c>
      <c r="G60">
        <v>4.4000000000000004</v>
      </c>
      <c r="H60">
        <v>12.7</v>
      </c>
    </row>
    <row r="61" spans="1:8">
      <c r="A61" t="s">
        <v>32</v>
      </c>
      <c r="B61">
        <v>139462</v>
      </c>
      <c r="C61">
        <v>13.51</v>
      </c>
      <c r="D61">
        <v>8.6</v>
      </c>
      <c r="E61">
        <v>20.5</v>
      </c>
      <c r="F61">
        <v>6.6</v>
      </c>
      <c r="G61">
        <v>5</v>
      </c>
      <c r="H61">
        <v>11.79</v>
      </c>
    </row>
  </sheetData>
  <conditionalFormatting sqref="B1:B104857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EDE4-18E6-4081-8353-DD67F34913D6}">
  <dimension ref="A3:G61"/>
  <sheetViews>
    <sheetView workbookViewId="0">
      <selection activeCell="I33" sqref="I33"/>
    </sheetView>
  </sheetViews>
  <sheetFormatPr defaultRowHeight="15"/>
  <cols>
    <col min="1" max="1" width="21.85546875" bestFit="1" customWidth="1"/>
    <col min="2" max="2" width="16" bestFit="1" customWidth="1"/>
    <col min="3" max="3" width="27.28515625" bestFit="1" customWidth="1"/>
    <col min="4" max="4" width="18.5703125" bestFit="1" customWidth="1"/>
    <col min="5" max="5" width="14.7109375" bestFit="1" customWidth="1"/>
    <col min="6" max="6" width="12.7109375" bestFit="1" customWidth="1"/>
    <col min="7" max="7" width="11.42578125" bestFit="1" customWidth="1"/>
  </cols>
  <sheetData>
    <row r="3" spans="1:7">
      <c r="A3" s="1" t="s">
        <v>1</v>
      </c>
      <c r="B3" t="s">
        <v>85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</row>
    <row r="4" spans="1:7">
      <c r="A4" t="s">
        <v>56</v>
      </c>
      <c r="B4">
        <v>181649</v>
      </c>
      <c r="C4">
        <v>43.25</v>
      </c>
      <c r="D4">
        <v>0.97</v>
      </c>
      <c r="E4">
        <v>0.94</v>
      </c>
      <c r="F4">
        <v>0.99</v>
      </c>
      <c r="G4">
        <v>0.99</v>
      </c>
    </row>
    <row r="5" spans="1:7">
      <c r="A5" t="s">
        <v>37</v>
      </c>
      <c r="B5">
        <v>887356</v>
      </c>
      <c r="C5">
        <v>109.71</v>
      </c>
      <c r="D5">
        <v>0.96</v>
      </c>
      <c r="E5">
        <v>0.82</v>
      </c>
      <c r="F5">
        <v>0.95</v>
      </c>
      <c r="G5">
        <v>0.97</v>
      </c>
    </row>
    <row r="6" spans="1:7">
      <c r="A6" t="s">
        <v>51</v>
      </c>
      <c r="B6">
        <v>271096</v>
      </c>
      <c r="C6">
        <v>141.21</v>
      </c>
      <c r="D6">
        <v>0.96</v>
      </c>
      <c r="E6">
        <v>0.9</v>
      </c>
      <c r="F6">
        <v>0.97</v>
      </c>
      <c r="G6">
        <v>0.97</v>
      </c>
    </row>
    <row r="7" spans="1:7">
      <c r="A7" t="s">
        <v>36</v>
      </c>
      <c r="B7">
        <v>985238</v>
      </c>
      <c r="C7">
        <v>166.19</v>
      </c>
      <c r="D7">
        <v>0.96</v>
      </c>
      <c r="E7">
        <v>0.88</v>
      </c>
      <c r="F7">
        <v>0.97</v>
      </c>
      <c r="G7">
        <v>0.96</v>
      </c>
    </row>
    <row r="8" spans="1:7">
      <c r="A8" t="s">
        <v>64</v>
      </c>
      <c r="B8">
        <v>87576</v>
      </c>
      <c r="C8">
        <v>24.84</v>
      </c>
      <c r="D8">
        <v>0.88</v>
      </c>
      <c r="E8">
        <v>0.97</v>
      </c>
      <c r="F8">
        <v>0.75</v>
      </c>
      <c r="G8">
        <v>0.96</v>
      </c>
    </row>
    <row r="9" spans="1:7">
      <c r="A9" t="s">
        <v>59</v>
      </c>
      <c r="B9">
        <v>149665</v>
      </c>
      <c r="C9">
        <v>108.62</v>
      </c>
      <c r="D9">
        <v>0.92</v>
      </c>
      <c r="E9">
        <v>0.83</v>
      </c>
      <c r="F9">
        <v>0.96</v>
      </c>
      <c r="G9">
        <v>0.95</v>
      </c>
    </row>
    <row r="10" spans="1:7">
      <c r="A10" t="s">
        <v>75</v>
      </c>
      <c r="B10">
        <v>27351</v>
      </c>
      <c r="C10">
        <v>27.52</v>
      </c>
      <c r="D10">
        <v>0.81</v>
      </c>
      <c r="E10">
        <v>0.78</v>
      </c>
      <c r="F10">
        <v>0.78</v>
      </c>
      <c r="G10">
        <v>0.95</v>
      </c>
    </row>
    <row r="11" spans="1:7">
      <c r="A11" t="s">
        <v>67</v>
      </c>
      <c r="B11">
        <v>63847</v>
      </c>
      <c r="C11">
        <v>21.76</v>
      </c>
      <c r="D11">
        <v>0.85</v>
      </c>
      <c r="E11">
        <v>0.98</v>
      </c>
      <c r="F11">
        <v>0.71</v>
      </c>
      <c r="G11">
        <v>0.93</v>
      </c>
    </row>
    <row r="12" spans="1:7">
      <c r="A12" t="s">
        <v>44</v>
      </c>
      <c r="B12">
        <v>462308</v>
      </c>
      <c r="C12">
        <v>96.18</v>
      </c>
      <c r="D12">
        <v>0.97</v>
      </c>
      <c r="E12">
        <v>0.86</v>
      </c>
      <c r="F12">
        <v>0.97</v>
      </c>
      <c r="G12">
        <v>0.93</v>
      </c>
    </row>
    <row r="13" spans="1:7">
      <c r="A13" t="s">
        <v>58</v>
      </c>
      <c r="B13">
        <v>155423</v>
      </c>
      <c r="C13">
        <v>72.97</v>
      </c>
      <c r="D13">
        <v>0.96</v>
      </c>
      <c r="E13">
        <v>0.83</v>
      </c>
      <c r="F13">
        <v>0.95</v>
      </c>
      <c r="G13">
        <v>0.93</v>
      </c>
    </row>
    <row r="14" spans="1:7">
      <c r="A14" t="s">
        <v>31</v>
      </c>
      <c r="B14">
        <v>2150945</v>
      </c>
      <c r="C14">
        <v>107.76</v>
      </c>
      <c r="D14">
        <v>0.88</v>
      </c>
      <c r="E14">
        <v>0.78</v>
      </c>
      <c r="F14">
        <v>0.97</v>
      </c>
      <c r="G14">
        <v>0.91</v>
      </c>
    </row>
    <row r="15" spans="1:7">
      <c r="A15" t="s">
        <v>65</v>
      </c>
      <c r="B15">
        <v>76578</v>
      </c>
      <c r="C15">
        <v>122.66</v>
      </c>
      <c r="D15">
        <v>0.84</v>
      </c>
      <c r="E15">
        <v>0.89</v>
      </c>
      <c r="F15">
        <v>0.85</v>
      </c>
      <c r="G15">
        <v>0.91</v>
      </c>
    </row>
    <row r="16" spans="1:7">
      <c r="A16" t="s">
        <v>66</v>
      </c>
      <c r="B16">
        <v>64111</v>
      </c>
      <c r="C16">
        <v>51.15</v>
      </c>
      <c r="D16">
        <v>0.88</v>
      </c>
      <c r="E16">
        <v>0.93</v>
      </c>
      <c r="F16">
        <v>0.69</v>
      </c>
      <c r="G16">
        <v>0.9</v>
      </c>
    </row>
    <row r="17" spans="1:7">
      <c r="A17" t="s">
        <v>74</v>
      </c>
      <c r="B17">
        <v>27926</v>
      </c>
      <c r="C17">
        <v>21.36</v>
      </c>
      <c r="D17">
        <v>0.86</v>
      </c>
      <c r="E17">
        <v>0.94</v>
      </c>
      <c r="F17">
        <v>0.87</v>
      </c>
      <c r="G17">
        <v>0.89</v>
      </c>
    </row>
    <row r="18" spans="1:7">
      <c r="A18" t="s">
        <v>41</v>
      </c>
      <c r="B18">
        <v>743296</v>
      </c>
      <c r="C18">
        <v>539.80999999999995</v>
      </c>
      <c r="D18">
        <v>0.83</v>
      </c>
      <c r="E18">
        <v>0.82</v>
      </c>
      <c r="F18">
        <v>0.96</v>
      </c>
      <c r="G18">
        <v>0.89</v>
      </c>
    </row>
    <row r="19" spans="1:7">
      <c r="A19" t="s">
        <v>27</v>
      </c>
      <c r="B19">
        <v>10103711</v>
      </c>
      <c r="C19">
        <v>2473.5300000000002</v>
      </c>
      <c r="D19">
        <v>0.87</v>
      </c>
      <c r="E19">
        <v>0.32</v>
      </c>
      <c r="F19">
        <v>0.97</v>
      </c>
      <c r="G19">
        <v>0.86</v>
      </c>
    </row>
    <row r="20" spans="1:7">
      <c r="A20" t="s">
        <v>81</v>
      </c>
      <c r="B20">
        <v>12726</v>
      </c>
      <c r="C20">
        <v>3.94</v>
      </c>
      <c r="D20">
        <v>0.84</v>
      </c>
      <c r="E20">
        <v>0.86</v>
      </c>
      <c r="F20">
        <v>0.54</v>
      </c>
      <c r="G20">
        <v>0.86</v>
      </c>
    </row>
    <row r="21" spans="1:7">
      <c r="A21" t="s">
        <v>63</v>
      </c>
      <c r="B21">
        <v>96204</v>
      </c>
      <c r="C21">
        <v>159.81</v>
      </c>
      <c r="D21">
        <v>0.83</v>
      </c>
      <c r="E21">
        <v>0.87</v>
      </c>
      <c r="F21">
        <v>0.9</v>
      </c>
      <c r="G21">
        <v>0.86</v>
      </c>
    </row>
    <row r="22" spans="1:7">
      <c r="A22" t="s">
        <v>42</v>
      </c>
      <c r="B22">
        <v>544717</v>
      </c>
      <c r="C22">
        <v>365.13</v>
      </c>
      <c r="D22">
        <v>0.84</v>
      </c>
      <c r="E22">
        <v>0.84</v>
      </c>
      <c r="F22">
        <v>0.92</v>
      </c>
      <c r="G22">
        <v>0.85</v>
      </c>
    </row>
    <row r="23" spans="1:7">
      <c r="A23" t="s">
        <v>47</v>
      </c>
      <c r="B23">
        <v>434534</v>
      </c>
      <c r="C23">
        <v>131.94</v>
      </c>
      <c r="D23">
        <v>0.82</v>
      </c>
      <c r="E23">
        <v>0.54</v>
      </c>
      <c r="F23">
        <v>0.97</v>
      </c>
      <c r="G23">
        <v>0.85</v>
      </c>
    </row>
    <row r="24" spans="1:7">
      <c r="A24" t="s">
        <v>45</v>
      </c>
      <c r="B24">
        <v>445298</v>
      </c>
      <c r="C24">
        <v>162.72999999999999</v>
      </c>
      <c r="D24">
        <v>0.81</v>
      </c>
      <c r="E24">
        <v>0.33</v>
      </c>
      <c r="F24">
        <v>0.91</v>
      </c>
      <c r="G24">
        <v>0.84</v>
      </c>
    </row>
    <row r="25" spans="1:7">
      <c r="A25" t="s">
        <v>53</v>
      </c>
      <c r="B25">
        <v>228696</v>
      </c>
      <c r="C25">
        <v>136.47999999999999</v>
      </c>
      <c r="D25">
        <v>0.75</v>
      </c>
      <c r="E25">
        <v>0.55000000000000004</v>
      </c>
      <c r="F25">
        <v>0.67</v>
      </c>
      <c r="G25">
        <v>0.83</v>
      </c>
    </row>
    <row r="26" spans="1:7">
      <c r="A26" t="s">
        <v>30</v>
      </c>
      <c r="B26">
        <v>2414964</v>
      </c>
      <c r="C26">
        <v>338.16</v>
      </c>
      <c r="D26">
        <v>0.83</v>
      </c>
      <c r="E26">
        <v>0.66</v>
      </c>
      <c r="F26">
        <v>0.95</v>
      </c>
      <c r="G26">
        <v>0.83</v>
      </c>
    </row>
    <row r="27" spans="1:7">
      <c r="A27" t="s">
        <v>61</v>
      </c>
      <c r="B27">
        <v>136507</v>
      </c>
      <c r="C27">
        <v>38.14</v>
      </c>
      <c r="D27">
        <v>0.83</v>
      </c>
      <c r="E27">
        <v>0.52</v>
      </c>
      <c r="F27">
        <v>0.64</v>
      </c>
      <c r="G27">
        <v>0.83</v>
      </c>
    </row>
    <row r="28" spans="1:7">
      <c r="A28" t="s">
        <v>79</v>
      </c>
      <c r="B28">
        <v>17414</v>
      </c>
      <c r="C28">
        <v>11.95</v>
      </c>
      <c r="D28">
        <v>0.69</v>
      </c>
      <c r="E28">
        <v>0.91</v>
      </c>
      <c r="F28">
        <v>0.56999999999999995</v>
      </c>
      <c r="G28">
        <v>0.83</v>
      </c>
    </row>
    <row r="29" spans="1:7">
      <c r="A29" t="s">
        <v>34</v>
      </c>
      <c r="B29">
        <v>1527301</v>
      </c>
      <c r="C29">
        <v>1593.28</v>
      </c>
      <c r="D29">
        <v>0.65</v>
      </c>
      <c r="E29">
        <v>0.68</v>
      </c>
      <c r="F29">
        <v>0.91</v>
      </c>
      <c r="G29">
        <v>0.77</v>
      </c>
    </row>
    <row r="30" spans="1:7">
      <c r="A30" t="s">
        <v>82</v>
      </c>
      <c r="B30">
        <v>8876</v>
      </c>
      <c r="C30">
        <v>2.2400000000000002</v>
      </c>
      <c r="D30">
        <v>0.75</v>
      </c>
      <c r="E30">
        <v>0.82</v>
      </c>
      <c r="F30">
        <v>0.59</v>
      </c>
      <c r="G30">
        <v>0.77</v>
      </c>
    </row>
    <row r="31" spans="1:7">
      <c r="A31" t="s">
        <v>76</v>
      </c>
      <c r="B31">
        <v>21579</v>
      </c>
      <c r="C31">
        <v>18.68</v>
      </c>
      <c r="D31">
        <v>0.74</v>
      </c>
      <c r="E31">
        <v>0.91</v>
      </c>
      <c r="F31">
        <v>0.95</v>
      </c>
      <c r="G31">
        <v>0.76</v>
      </c>
    </row>
    <row r="32" spans="1:7">
      <c r="A32" t="s">
        <v>71</v>
      </c>
      <c r="B32">
        <v>43622</v>
      </c>
      <c r="C32">
        <v>6.93</v>
      </c>
      <c r="D32">
        <v>0.74</v>
      </c>
      <c r="E32">
        <v>0.71</v>
      </c>
      <c r="F32">
        <v>0.62</v>
      </c>
      <c r="G32">
        <v>0.75</v>
      </c>
    </row>
    <row r="33" spans="1:7">
      <c r="A33" t="s">
        <v>57</v>
      </c>
      <c r="B33">
        <v>179384</v>
      </c>
      <c r="C33">
        <v>47.48</v>
      </c>
      <c r="D33">
        <v>0.59</v>
      </c>
      <c r="E33">
        <v>0.79</v>
      </c>
      <c r="F33">
        <v>0.56000000000000005</v>
      </c>
      <c r="G33">
        <v>0.75</v>
      </c>
    </row>
    <row r="34" spans="1:7">
      <c r="A34" t="s">
        <v>54</v>
      </c>
      <c r="B34">
        <v>218477</v>
      </c>
      <c r="C34">
        <v>215.6</v>
      </c>
      <c r="D34">
        <v>0.61</v>
      </c>
      <c r="E34">
        <v>0.17</v>
      </c>
      <c r="F34">
        <v>0.89</v>
      </c>
      <c r="G34">
        <v>0.73</v>
      </c>
    </row>
    <row r="35" spans="1:7">
      <c r="A35" t="s">
        <v>28</v>
      </c>
      <c r="B35">
        <v>3321237</v>
      </c>
      <c r="C35">
        <v>789.5</v>
      </c>
      <c r="D35">
        <v>0.63</v>
      </c>
      <c r="E35">
        <v>0.24</v>
      </c>
      <c r="F35">
        <v>0.9</v>
      </c>
      <c r="G35">
        <v>0.7</v>
      </c>
    </row>
    <row r="36" spans="1:7">
      <c r="A36" t="s">
        <v>73</v>
      </c>
      <c r="B36">
        <v>30920</v>
      </c>
      <c r="C36">
        <v>6.74</v>
      </c>
      <c r="D36">
        <v>0.61</v>
      </c>
      <c r="E36">
        <v>0.27</v>
      </c>
      <c r="F36">
        <v>0.74</v>
      </c>
      <c r="G36">
        <v>0.64</v>
      </c>
    </row>
    <row r="37" spans="1:7">
      <c r="A37" t="s">
        <v>46</v>
      </c>
      <c r="B37">
        <v>443511</v>
      </c>
      <c r="C37">
        <v>540.91999999999996</v>
      </c>
      <c r="D37">
        <v>0.45</v>
      </c>
      <c r="E37">
        <v>0.56000000000000005</v>
      </c>
      <c r="F37">
        <v>0.94</v>
      </c>
      <c r="G37">
        <v>0.63</v>
      </c>
    </row>
    <row r="38" spans="1:7">
      <c r="A38" t="s">
        <v>60</v>
      </c>
      <c r="B38">
        <v>139878</v>
      </c>
      <c r="C38">
        <v>185.19</v>
      </c>
      <c r="D38">
        <v>0.41</v>
      </c>
      <c r="E38">
        <v>0.38</v>
      </c>
      <c r="F38">
        <v>0.87</v>
      </c>
      <c r="G38">
        <v>0.62</v>
      </c>
    </row>
    <row r="39" spans="1:7">
      <c r="A39" t="s">
        <v>39</v>
      </c>
      <c r="B39">
        <v>849044</v>
      </c>
      <c r="C39">
        <v>459.37</v>
      </c>
      <c r="D39">
        <v>0.56999999999999995</v>
      </c>
      <c r="E39">
        <v>0.35</v>
      </c>
      <c r="F39">
        <v>0.9</v>
      </c>
      <c r="G39">
        <v>0.61</v>
      </c>
    </row>
    <row r="40" spans="1:7">
      <c r="A40" t="s">
        <v>50</v>
      </c>
      <c r="B40">
        <v>274856</v>
      </c>
      <c r="C40">
        <v>613.71</v>
      </c>
      <c r="D40">
        <v>0.52</v>
      </c>
      <c r="E40">
        <v>0.14000000000000001</v>
      </c>
      <c r="F40">
        <v>0.82</v>
      </c>
      <c r="G40">
        <v>0.61</v>
      </c>
    </row>
    <row r="41" spans="1:7">
      <c r="A41" t="s">
        <v>69</v>
      </c>
      <c r="B41">
        <v>53976</v>
      </c>
      <c r="C41">
        <v>24.38</v>
      </c>
      <c r="D41">
        <v>0.54</v>
      </c>
      <c r="E41">
        <v>0.43</v>
      </c>
      <c r="F41">
        <v>0.55000000000000004</v>
      </c>
      <c r="G41">
        <v>0.6</v>
      </c>
    </row>
    <row r="42" spans="1:7">
      <c r="A42" t="s">
        <v>72</v>
      </c>
      <c r="B42">
        <v>38529</v>
      </c>
      <c r="C42">
        <v>65.63</v>
      </c>
      <c r="D42">
        <v>0.37</v>
      </c>
      <c r="E42">
        <v>0.43</v>
      </c>
      <c r="F42">
        <v>0.6</v>
      </c>
      <c r="G42">
        <v>0.59</v>
      </c>
    </row>
    <row r="43" spans="1:7">
      <c r="A43" t="s">
        <v>68</v>
      </c>
      <c r="B43">
        <v>60164</v>
      </c>
      <c r="C43">
        <v>44.32</v>
      </c>
      <c r="D43">
        <v>0.69</v>
      </c>
      <c r="E43">
        <v>0.59</v>
      </c>
      <c r="F43">
        <v>0.95</v>
      </c>
      <c r="G43">
        <v>0.56999999999999995</v>
      </c>
    </row>
    <row r="44" spans="1:7">
      <c r="A44" t="s">
        <v>29</v>
      </c>
      <c r="B44">
        <v>3174289</v>
      </c>
      <c r="C44">
        <v>3998.72</v>
      </c>
      <c r="D44">
        <v>0.54</v>
      </c>
      <c r="E44">
        <v>0.22</v>
      </c>
      <c r="F44">
        <v>0.92</v>
      </c>
      <c r="G44">
        <v>0.56000000000000005</v>
      </c>
    </row>
    <row r="45" spans="1:7">
      <c r="A45" t="s">
        <v>78</v>
      </c>
      <c r="B45">
        <v>17868</v>
      </c>
      <c r="C45">
        <v>1.76</v>
      </c>
      <c r="D45">
        <v>0.28000000000000003</v>
      </c>
      <c r="E45">
        <v>0.52</v>
      </c>
      <c r="F45">
        <v>0.78</v>
      </c>
      <c r="G45">
        <v>0.53</v>
      </c>
    </row>
    <row r="46" spans="1:7">
      <c r="A46" t="s">
        <v>33</v>
      </c>
      <c r="B46">
        <v>1660196</v>
      </c>
      <c r="C46">
        <v>2253.12</v>
      </c>
      <c r="D46">
        <v>0.3</v>
      </c>
      <c r="E46">
        <v>0.12</v>
      </c>
      <c r="F46">
        <v>0.96</v>
      </c>
      <c r="G46">
        <v>0.52</v>
      </c>
    </row>
    <row r="47" spans="1:7">
      <c r="A47" t="s">
        <v>43</v>
      </c>
      <c r="B47">
        <v>502469</v>
      </c>
      <c r="C47">
        <v>315.31</v>
      </c>
      <c r="D47">
        <v>0.38</v>
      </c>
      <c r="E47">
        <v>0.34</v>
      </c>
      <c r="F47">
        <v>0.77</v>
      </c>
      <c r="G47">
        <v>0.51</v>
      </c>
    </row>
    <row r="48" spans="1:7">
      <c r="A48" t="s">
        <v>84</v>
      </c>
      <c r="B48">
        <v>1111</v>
      </c>
      <c r="C48">
        <v>1.57</v>
      </c>
      <c r="D48">
        <v>0.25</v>
      </c>
      <c r="E48">
        <v>0.63</v>
      </c>
      <c r="F48">
        <v>0.87</v>
      </c>
      <c r="G48">
        <v>0.5</v>
      </c>
    </row>
    <row r="49" spans="1:7">
      <c r="A49" t="s">
        <v>35</v>
      </c>
      <c r="B49">
        <v>1145535</v>
      </c>
      <c r="C49">
        <v>1600.98</v>
      </c>
      <c r="D49">
        <v>0.32</v>
      </c>
      <c r="E49">
        <v>0.46</v>
      </c>
      <c r="F49">
        <v>0.91</v>
      </c>
      <c r="G49">
        <v>0.47</v>
      </c>
    </row>
    <row r="50" spans="1:7">
      <c r="A50" t="s">
        <v>49</v>
      </c>
      <c r="B50">
        <v>282481</v>
      </c>
      <c r="C50">
        <v>85.59</v>
      </c>
      <c r="D50">
        <v>0.35</v>
      </c>
      <c r="E50">
        <v>0.15</v>
      </c>
      <c r="F50">
        <v>0.7</v>
      </c>
      <c r="G50">
        <v>0.45</v>
      </c>
    </row>
    <row r="51" spans="1:7">
      <c r="A51" t="s">
        <v>38</v>
      </c>
      <c r="B51">
        <v>878040</v>
      </c>
      <c r="C51">
        <v>18648.13</v>
      </c>
      <c r="D51">
        <v>0.25</v>
      </c>
      <c r="E51">
        <v>0.03</v>
      </c>
      <c r="F51">
        <v>0.92</v>
      </c>
      <c r="G51">
        <v>0.43</v>
      </c>
    </row>
    <row r="52" spans="1:7">
      <c r="A52" t="s">
        <v>80</v>
      </c>
      <c r="B52">
        <v>14354</v>
      </c>
      <c r="C52">
        <v>4.72</v>
      </c>
      <c r="D52">
        <v>0.47</v>
      </c>
      <c r="E52">
        <v>0.04</v>
      </c>
      <c r="F52">
        <v>0.74</v>
      </c>
      <c r="G52">
        <v>0.42</v>
      </c>
    </row>
    <row r="53" spans="1:7">
      <c r="A53" t="s">
        <v>77</v>
      </c>
      <c r="B53">
        <v>18660</v>
      </c>
      <c r="C53">
        <v>7.38</v>
      </c>
      <c r="D53">
        <v>0.28999999999999998</v>
      </c>
      <c r="E53">
        <v>0.45</v>
      </c>
      <c r="F53">
        <v>0.51</v>
      </c>
      <c r="G53">
        <v>0.4</v>
      </c>
    </row>
    <row r="54" spans="1:7">
      <c r="A54" t="s">
        <v>32</v>
      </c>
      <c r="B54">
        <v>1932510</v>
      </c>
      <c r="C54">
        <v>1490.52</v>
      </c>
      <c r="D54">
        <v>0.17</v>
      </c>
      <c r="E54">
        <v>0.11</v>
      </c>
      <c r="F54">
        <v>0.96</v>
      </c>
      <c r="G54">
        <v>0.37</v>
      </c>
    </row>
    <row r="55" spans="1:7">
      <c r="A55" t="s">
        <v>52</v>
      </c>
      <c r="B55">
        <v>259749</v>
      </c>
      <c r="C55">
        <v>498.52</v>
      </c>
      <c r="D55">
        <v>0.13</v>
      </c>
      <c r="E55">
        <v>0.36</v>
      </c>
      <c r="F55">
        <v>0.67</v>
      </c>
      <c r="G55">
        <v>0.33</v>
      </c>
    </row>
    <row r="56" spans="1:7">
      <c r="A56" t="s">
        <v>70</v>
      </c>
      <c r="B56">
        <v>45681</v>
      </c>
      <c r="C56">
        <v>44.93</v>
      </c>
      <c r="D56">
        <v>0.49</v>
      </c>
      <c r="E56">
        <v>0.55000000000000004</v>
      </c>
      <c r="F56">
        <v>0.54</v>
      </c>
      <c r="G56">
        <v>0.32</v>
      </c>
    </row>
    <row r="57" spans="1:7">
      <c r="A57" t="s">
        <v>83</v>
      </c>
      <c r="B57">
        <v>3002</v>
      </c>
      <c r="C57">
        <v>3.04</v>
      </c>
      <c r="D57">
        <v>0.53</v>
      </c>
      <c r="E57">
        <v>0.35</v>
      </c>
      <c r="F57">
        <v>0.37</v>
      </c>
      <c r="G57">
        <v>0.28000000000000003</v>
      </c>
    </row>
    <row r="58" spans="1:7">
      <c r="A58" t="s">
        <v>40</v>
      </c>
      <c r="B58">
        <v>768901</v>
      </c>
      <c r="C58">
        <v>1706.62</v>
      </c>
      <c r="D58">
        <v>0.13</v>
      </c>
      <c r="E58">
        <v>0.09</v>
      </c>
      <c r="F58">
        <v>0.93</v>
      </c>
      <c r="G58">
        <v>0.26</v>
      </c>
    </row>
    <row r="59" spans="1:7">
      <c r="A59" t="s">
        <v>55</v>
      </c>
      <c r="B59">
        <v>188679</v>
      </c>
      <c r="C59">
        <v>111.45</v>
      </c>
      <c r="D59">
        <v>0.2</v>
      </c>
      <c r="E59">
        <v>0.22</v>
      </c>
      <c r="F59">
        <v>0.59</v>
      </c>
      <c r="G59">
        <v>0.23</v>
      </c>
    </row>
    <row r="60" spans="1:7">
      <c r="A60" t="s">
        <v>62</v>
      </c>
      <c r="B60">
        <v>99367</v>
      </c>
      <c r="C60">
        <v>103.8</v>
      </c>
      <c r="D60">
        <v>0.25</v>
      </c>
      <c r="E60">
        <v>0.31</v>
      </c>
      <c r="F60">
        <v>0.46</v>
      </c>
      <c r="G60">
        <v>0.22</v>
      </c>
    </row>
    <row r="61" spans="1:7">
      <c r="A61" t="s">
        <v>48</v>
      </c>
      <c r="B61">
        <v>385115</v>
      </c>
      <c r="C61">
        <v>278.45</v>
      </c>
      <c r="D61">
        <v>0.13</v>
      </c>
      <c r="E61">
        <v>0.28999999999999998</v>
      </c>
      <c r="F61">
        <v>0.66</v>
      </c>
      <c r="G61">
        <v>0.18</v>
      </c>
    </row>
  </sheetData>
  <conditionalFormatting sqref="C1:C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F8D8-25D7-4392-8AF8-D174632AE310}">
  <dimension ref="A3:R156"/>
  <sheetViews>
    <sheetView workbookViewId="0">
      <selection activeCell="P1" sqref="P1"/>
    </sheetView>
  </sheetViews>
  <sheetFormatPr defaultRowHeight="15"/>
  <cols>
    <col min="1" max="1" width="21.85546875" bestFit="1" customWidth="1"/>
    <col min="2" max="2" width="11.42578125" bestFit="1" customWidth="1"/>
    <col min="3" max="3" width="21.7109375" bestFit="1" customWidth="1"/>
    <col min="4" max="6" width="11.42578125" bestFit="1" customWidth="1"/>
    <col min="7" max="7" width="31.85546875" bestFit="1" customWidth="1"/>
    <col min="13" max="13" width="21.5703125" bestFit="1" customWidth="1"/>
    <col min="14" max="14" width="19.42578125" bestFit="1" customWidth="1"/>
    <col min="22" max="22" width="21.5703125" bestFit="1" customWidth="1"/>
    <col min="23" max="23" width="19.42578125" bestFit="1" customWidth="1"/>
  </cols>
  <sheetData>
    <row r="3" spans="1:14">
      <c r="A3" s="1" t="s">
        <v>1</v>
      </c>
      <c r="B3" t="s">
        <v>86</v>
      </c>
    </row>
    <row r="4" spans="1:14">
      <c r="A4" t="s">
        <v>33</v>
      </c>
      <c r="B4">
        <v>51610</v>
      </c>
      <c r="M4" s="1" t="s">
        <v>1</v>
      </c>
      <c r="N4" t="s">
        <v>109</v>
      </c>
    </row>
    <row r="5" spans="1:14">
      <c r="A5" t="s">
        <v>36</v>
      </c>
      <c r="B5">
        <v>65399</v>
      </c>
      <c r="M5" t="s">
        <v>36</v>
      </c>
      <c r="N5">
        <v>646</v>
      </c>
    </row>
    <row r="6" spans="1:14">
      <c r="A6" t="s">
        <v>34</v>
      </c>
      <c r="B6">
        <v>65539</v>
      </c>
      <c r="M6" t="s">
        <v>41</v>
      </c>
      <c r="N6">
        <v>651</v>
      </c>
    </row>
    <row r="7" spans="1:14">
      <c r="A7" t="s">
        <v>37</v>
      </c>
      <c r="B7">
        <v>68968</v>
      </c>
      <c r="M7" t="s">
        <v>33</v>
      </c>
      <c r="N7">
        <v>657</v>
      </c>
    </row>
    <row r="8" spans="1:14">
      <c r="A8" t="s">
        <v>32</v>
      </c>
      <c r="B8">
        <v>69878</v>
      </c>
      <c r="M8" t="s">
        <v>32</v>
      </c>
      <c r="N8">
        <v>710</v>
      </c>
    </row>
    <row r="9" spans="1:14">
      <c r="A9" t="s">
        <v>28</v>
      </c>
      <c r="B9">
        <v>155657</v>
      </c>
      <c r="M9" t="s">
        <v>34</v>
      </c>
      <c r="N9">
        <v>857</v>
      </c>
    </row>
    <row r="10" spans="1:14">
      <c r="A10" t="s">
        <v>29</v>
      </c>
      <c r="B10">
        <v>166195</v>
      </c>
      <c r="M10" t="s">
        <v>31</v>
      </c>
      <c r="N10">
        <v>1445</v>
      </c>
    </row>
    <row r="11" spans="1:14">
      <c r="A11" t="s">
        <v>30</v>
      </c>
      <c r="B11">
        <v>180552</v>
      </c>
      <c r="M11" t="s">
        <v>28</v>
      </c>
      <c r="N11">
        <v>1534</v>
      </c>
    </row>
    <row r="12" spans="1:14">
      <c r="A12" t="s">
        <v>31</v>
      </c>
      <c r="B12">
        <v>194376</v>
      </c>
      <c r="M12" t="s">
        <v>29</v>
      </c>
      <c r="N12">
        <v>1875</v>
      </c>
    </row>
    <row r="13" spans="1:14">
      <c r="A13" t="s">
        <v>27</v>
      </c>
      <c r="B13">
        <v>770914</v>
      </c>
      <c r="M13" t="s">
        <v>30</v>
      </c>
      <c r="N13">
        <v>1985</v>
      </c>
    </row>
    <row r="14" spans="1:14">
      <c r="M14" t="s">
        <v>27</v>
      </c>
      <c r="N14">
        <v>10345</v>
      </c>
    </row>
    <row r="20" spans="1:18">
      <c r="A20" t="s">
        <v>20</v>
      </c>
      <c r="B20" t="s">
        <v>6</v>
      </c>
      <c r="L20" s="1" t="s">
        <v>1</v>
      </c>
      <c r="M20" s="1" t="s">
        <v>20</v>
      </c>
      <c r="N20" t="s">
        <v>110</v>
      </c>
      <c r="P20" t="s">
        <v>1</v>
      </c>
      <c r="Q20" t="s">
        <v>20</v>
      </c>
      <c r="R20" t="s">
        <v>6</v>
      </c>
    </row>
    <row r="21" spans="1:18">
      <c r="A21">
        <v>11.79</v>
      </c>
      <c r="B21">
        <v>36.74</v>
      </c>
      <c r="L21" t="s">
        <v>65</v>
      </c>
      <c r="M21">
        <v>15.11</v>
      </c>
      <c r="N21">
        <v>24.81</v>
      </c>
      <c r="P21" t="s">
        <v>65</v>
      </c>
      <c r="R21">
        <v>24.81</v>
      </c>
    </row>
    <row r="22" spans="1:18">
      <c r="A22">
        <v>12.7</v>
      </c>
      <c r="B22">
        <v>29.52</v>
      </c>
      <c r="L22" t="s">
        <v>54</v>
      </c>
      <c r="N22">
        <v>50.81</v>
      </c>
      <c r="P22" t="s">
        <v>54</v>
      </c>
      <c r="R22">
        <v>50.81</v>
      </c>
    </row>
    <row r="23" spans="1:18">
      <c r="A23">
        <v>12.83</v>
      </c>
      <c r="B23">
        <v>39.57</v>
      </c>
      <c r="L23" t="s">
        <v>39</v>
      </c>
      <c r="M23">
        <v>14.62</v>
      </c>
      <c r="N23">
        <v>30.98</v>
      </c>
      <c r="P23" t="s">
        <v>39</v>
      </c>
      <c r="Q23">
        <v>14.62</v>
      </c>
      <c r="R23">
        <v>30.98</v>
      </c>
    </row>
    <row r="24" spans="1:18">
      <c r="A24">
        <v>12.86</v>
      </c>
      <c r="B24">
        <v>21.18</v>
      </c>
      <c r="L24" t="s">
        <v>69</v>
      </c>
      <c r="M24">
        <v>18.71</v>
      </c>
      <c r="N24">
        <v>38.909999999999997</v>
      </c>
      <c r="P24" t="s">
        <v>69</v>
      </c>
      <c r="Q24">
        <v>18.71</v>
      </c>
      <c r="R24">
        <v>38.909999999999997</v>
      </c>
    </row>
    <row r="25" spans="1:18">
      <c r="A25">
        <v>13.29</v>
      </c>
      <c r="B25">
        <v>59.07</v>
      </c>
      <c r="L25" t="s">
        <v>44</v>
      </c>
      <c r="M25">
        <v>15.89</v>
      </c>
      <c r="N25">
        <v>87.82</v>
      </c>
      <c r="P25" t="s">
        <v>44</v>
      </c>
      <c r="Q25">
        <v>15.89</v>
      </c>
      <c r="R25">
        <v>87.82</v>
      </c>
    </row>
    <row r="26" spans="1:18">
      <c r="A26">
        <v>13.91</v>
      </c>
      <c r="B26">
        <v>46.19</v>
      </c>
      <c r="L26" t="s">
        <v>81</v>
      </c>
      <c r="M26">
        <v>21.2</v>
      </c>
      <c r="N26">
        <v>31.43</v>
      </c>
      <c r="P26" t="s">
        <v>81</v>
      </c>
      <c r="Q26">
        <v>21.2</v>
      </c>
      <c r="R26">
        <v>31.43</v>
      </c>
    </row>
    <row r="27" spans="1:18">
      <c r="A27">
        <v>14</v>
      </c>
      <c r="B27">
        <v>29.24</v>
      </c>
      <c r="L27" t="s">
        <v>67</v>
      </c>
      <c r="M27">
        <v>17.8</v>
      </c>
      <c r="N27">
        <v>56.38</v>
      </c>
      <c r="P27" t="s">
        <v>67</v>
      </c>
      <c r="Q27">
        <v>17.8</v>
      </c>
      <c r="R27">
        <v>56.38</v>
      </c>
    </row>
    <row r="28" spans="1:18">
      <c r="A28">
        <v>14.07</v>
      </c>
      <c r="B28">
        <v>48.2</v>
      </c>
      <c r="L28" t="s">
        <v>63</v>
      </c>
      <c r="M28">
        <v>15.3</v>
      </c>
      <c r="N28">
        <v>54.05</v>
      </c>
      <c r="P28" t="s">
        <v>63</v>
      </c>
      <c r="Q28">
        <v>15.3</v>
      </c>
      <c r="R28">
        <v>54.05</v>
      </c>
    </row>
    <row r="29" spans="1:18">
      <c r="A29">
        <v>14.11</v>
      </c>
      <c r="B29">
        <v>50.81</v>
      </c>
      <c r="L29" t="s">
        <v>42</v>
      </c>
      <c r="M29">
        <v>14.92</v>
      </c>
      <c r="N29">
        <v>113.09</v>
      </c>
      <c r="P29" t="s">
        <v>42</v>
      </c>
      <c r="Q29">
        <v>14.92</v>
      </c>
      <c r="R29">
        <v>113.09</v>
      </c>
    </row>
    <row r="30" spans="1:18">
      <c r="A30">
        <v>14.46</v>
      </c>
      <c r="B30">
        <v>87.58</v>
      </c>
      <c r="L30" t="s">
        <v>43</v>
      </c>
      <c r="M30">
        <v>15.17</v>
      </c>
      <c r="N30">
        <v>38.21</v>
      </c>
      <c r="P30" t="s">
        <v>43</v>
      </c>
      <c r="Q30">
        <v>15.17</v>
      </c>
      <c r="R30">
        <v>38.21</v>
      </c>
    </row>
    <row r="31" spans="1:18">
      <c r="A31">
        <v>14.6</v>
      </c>
      <c r="B31">
        <v>56.11</v>
      </c>
      <c r="L31" t="s">
        <v>46</v>
      </c>
      <c r="M31">
        <v>14.86</v>
      </c>
      <c r="N31">
        <v>22.1</v>
      </c>
      <c r="P31" t="s">
        <v>46</v>
      </c>
      <c r="Q31">
        <v>14.86</v>
      </c>
      <c r="R31">
        <v>22.1</v>
      </c>
    </row>
    <row r="32" spans="1:18">
      <c r="A32">
        <v>14.62</v>
      </c>
      <c r="B32">
        <v>30.98</v>
      </c>
      <c r="L32" t="s">
        <v>71</v>
      </c>
      <c r="M32">
        <v>19.43</v>
      </c>
      <c r="N32">
        <v>25.22</v>
      </c>
      <c r="P32" t="s">
        <v>71</v>
      </c>
      <c r="Q32">
        <v>19.43</v>
      </c>
      <c r="R32">
        <v>25.22</v>
      </c>
    </row>
    <row r="33" spans="1:18">
      <c r="A33">
        <v>14.7</v>
      </c>
      <c r="B33">
        <v>130.26</v>
      </c>
      <c r="L33" t="s">
        <v>83</v>
      </c>
      <c r="M33">
        <v>19.89</v>
      </c>
      <c r="N33">
        <v>0</v>
      </c>
      <c r="P33" t="s">
        <v>83</v>
      </c>
      <c r="Q33">
        <v>19.89</v>
      </c>
      <c r="R33">
        <v>0</v>
      </c>
    </row>
    <row r="34" spans="1:18">
      <c r="A34">
        <v>14.77</v>
      </c>
      <c r="B34">
        <v>30.2</v>
      </c>
      <c r="L34" t="s">
        <v>57</v>
      </c>
      <c r="M34">
        <v>17.25</v>
      </c>
      <c r="N34">
        <v>43.48</v>
      </c>
      <c r="P34" t="s">
        <v>57</v>
      </c>
      <c r="Q34">
        <v>17.25</v>
      </c>
      <c r="R34">
        <v>43.48</v>
      </c>
    </row>
    <row r="35" spans="1:18">
      <c r="A35">
        <v>14.8</v>
      </c>
      <c r="B35">
        <v>73.5</v>
      </c>
      <c r="L35" t="s">
        <v>50</v>
      </c>
      <c r="M35">
        <v>14.77</v>
      </c>
      <c r="N35">
        <v>30.2</v>
      </c>
      <c r="P35" t="s">
        <v>50</v>
      </c>
      <c r="Q35">
        <v>14.77</v>
      </c>
      <c r="R35">
        <v>30.2</v>
      </c>
    </row>
    <row r="36" spans="1:18">
      <c r="A36">
        <v>14.86</v>
      </c>
      <c r="B36">
        <v>22.1</v>
      </c>
      <c r="L36" t="s">
        <v>32</v>
      </c>
      <c r="M36">
        <v>11.79</v>
      </c>
      <c r="N36">
        <v>36.74</v>
      </c>
      <c r="P36" t="s">
        <v>32</v>
      </c>
      <c r="Q36">
        <v>11.79</v>
      </c>
      <c r="R36">
        <v>36.74</v>
      </c>
    </row>
    <row r="37" spans="1:18">
      <c r="A37">
        <v>14.92</v>
      </c>
      <c r="B37">
        <v>113.09</v>
      </c>
      <c r="L37" t="s">
        <v>45</v>
      </c>
      <c r="M37">
        <v>15.3</v>
      </c>
      <c r="N37">
        <v>35.93</v>
      </c>
      <c r="P37" t="s">
        <v>45</v>
      </c>
      <c r="Q37">
        <v>15.3</v>
      </c>
      <c r="R37">
        <v>35.93</v>
      </c>
    </row>
    <row r="38" spans="1:18">
      <c r="A38">
        <v>15</v>
      </c>
      <c r="B38">
        <v>32.46</v>
      </c>
      <c r="L38" t="s">
        <v>40</v>
      </c>
      <c r="M38">
        <v>12.7</v>
      </c>
      <c r="N38">
        <v>29.52</v>
      </c>
      <c r="P38" t="s">
        <v>40</v>
      </c>
      <c r="Q38">
        <v>12.7</v>
      </c>
      <c r="R38">
        <v>29.52</v>
      </c>
    </row>
    <row r="39" spans="1:18">
      <c r="A39">
        <v>15.07</v>
      </c>
      <c r="B39">
        <v>29.11</v>
      </c>
      <c r="L39" t="s">
        <v>49</v>
      </c>
      <c r="M39">
        <v>16.05</v>
      </c>
      <c r="N39">
        <v>29.03</v>
      </c>
      <c r="P39" t="s">
        <v>49</v>
      </c>
      <c r="Q39">
        <v>16.05</v>
      </c>
      <c r="R39">
        <v>29.03</v>
      </c>
    </row>
    <row r="40" spans="1:18">
      <c r="A40">
        <v>15.11</v>
      </c>
      <c r="B40">
        <v>24.81</v>
      </c>
      <c r="L40" t="s">
        <v>41</v>
      </c>
      <c r="M40">
        <v>14.46</v>
      </c>
      <c r="N40">
        <v>87.58</v>
      </c>
      <c r="P40" t="s">
        <v>41</v>
      </c>
      <c r="Q40">
        <v>14.46</v>
      </c>
      <c r="R40">
        <v>87.58</v>
      </c>
    </row>
    <row r="41" spans="1:18">
      <c r="A41">
        <v>15.17</v>
      </c>
      <c r="B41">
        <v>38.21</v>
      </c>
      <c r="L41" t="s">
        <v>38</v>
      </c>
      <c r="M41">
        <v>12.86</v>
      </c>
      <c r="N41">
        <v>21.18</v>
      </c>
      <c r="P41" t="s">
        <v>38</v>
      </c>
      <c r="Q41">
        <v>12.86</v>
      </c>
      <c r="R41">
        <v>21.18</v>
      </c>
    </row>
    <row r="42" spans="1:18">
      <c r="A42">
        <v>15.23</v>
      </c>
      <c r="B42">
        <v>53.51</v>
      </c>
      <c r="L42" t="s">
        <v>28</v>
      </c>
      <c r="M42">
        <v>13.91</v>
      </c>
      <c r="N42">
        <v>46.19</v>
      </c>
      <c r="P42" t="s">
        <v>28</v>
      </c>
      <c r="Q42">
        <v>13.91</v>
      </c>
      <c r="R42">
        <v>46.19</v>
      </c>
    </row>
    <row r="43" spans="1:18">
      <c r="A43">
        <v>15.3</v>
      </c>
      <c r="B43">
        <v>134.39999999999998</v>
      </c>
      <c r="L43" t="s">
        <v>31</v>
      </c>
      <c r="M43">
        <v>15.73</v>
      </c>
      <c r="N43">
        <v>67.180000000000007</v>
      </c>
      <c r="P43" t="s">
        <v>31</v>
      </c>
      <c r="Q43">
        <v>15.73</v>
      </c>
      <c r="R43">
        <v>67.180000000000007</v>
      </c>
    </row>
    <row r="44" spans="1:18">
      <c r="A44">
        <v>15.51</v>
      </c>
      <c r="B44">
        <v>20.02</v>
      </c>
      <c r="L44" t="s">
        <v>68</v>
      </c>
      <c r="M44">
        <v>14.07</v>
      </c>
      <c r="N44">
        <v>48.2</v>
      </c>
      <c r="P44" t="s">
        <v>68</v>
      </c>
      <c r="Q44">
        <v>14.07</v>
      </c>
      <c r="R44">
        <v>48.2</v>
      </c>
    </row>
    <row r="45" spans="1:18">
      <c r="A45">
        <v>15.55</v>
      </c>
      <c r="B45">
        <v>57.7</v>
      </c>
      <c r="L45" t="s">
        <v>34</v>
      </c>
      <c r="M45">
        <v>14.6</v>
      </c>
      <c r="N45">
        <v>56.11</v>
      </c>
      <c r="P45" t="s">
        <v>34</v>
      </c>
      <c r="Q45">
        <v>14.6</v>
      </c>
      <c r="R45">
        <v>56.11</v>
      </c>
    </row>
    <row r="46" spans="1:18">
      <c r="A46">
        <v>15.7</v>
      </c>
      <c r="B46">
        <v>82.2</v>
      </c>
      <c r="L46" t="s">
        <v>30</v>
      </c>
      <c r="M46">
        <v>15.7</v>
      </c>
      <c r="N46">
        <v>82.2</v>
      </c>
      <c r="P46" t="s">
        <v>30</v>
      </c>
      <c r="Q46">
        <v>15.7</v>
      </c>
      <c r="R46">
        <v>82.2</v>
      </c>
    </row>
    <row r="47" spans="1:18">
      <c r="A47">
        <v>15.72</v>
      </c>
      <c r="B47">
        <v>65.569999999999993</v>
      </c>
      <c r="L47" t="s">
        <v>77</v>
      </c>
      <c r="M47">
        <v>19.649999999999999</v>
      </c>
      <c r="N47">
        <v>5.36</v>
      </c>
      <c r="P47" t="s">
        <v>77</v>
      </c>
      <c r="Q47">
        <v>19.649999999999999</v>
      </c>
      <c r="R47">
        <v>5.36</v>
      </c>
    </row>
    <row r="48" spans="1:18">
      <c r="A48">
        <v>15.73</v>
      </c>
      <c r="B48">
        <v>67.180000000000007</v>
      </c>
      <c r="L48" t="s">
        <v>48</v>
      </c>
      <c r="M48">
        <v>15</v>
      </c>
      <c r="N48">
        <v>32.46</v>
      </c>
      <c r="P48" t="s">
        <v>48</v>
      </c>
      <c r="Q48">
        <v>15</v>
      </c>
      <c r="R48">
        <v>32.46</v>
      </c>
    </row>
    <row r="49" spans="1:18">
      <c r="A49">
        <v>15.89</v>
      </c>
      <c r="B49">
        <v>87.82</v>
      </c>
      <c r="L49" t="s">
        <v>29</v>
      </c>
      <c r="M49">
        <v>13.29</v>
      </c>
      <c r="N49">
        <v>59.07</v>
      </c>
      <c r="P49" t="s">
        <v>29</v>
      </c>
      <c r="Q49">
        <v>13.29</v>
      </c>
      <c r="R49">
        <v>59.07</v>
      </c>
    </row>
    <row r="50" spans="1:18">
      <c r="A50">
        <v>16.03</v>
      </c>
      <c r="B50">
        <v>11.66</v>
      </c>
      <c r="L50" t="s">
        <v>62</v>
      </c>
      <c r="M50">
        <v>18.63</v>
      </c>
      <c r="N50">
        <v>50.32</v>
      </c>
      <c r="P50" t="s">
        <v>62</v>
      </c>
      <c r="Q50">
        <v>18.63</v>
      </c>
      <c r="R50">
        <v>50.32</v>
      </c>
    </row>
    <row r="51" spans="1:18">
      <c r="A51">
        <v>16.05</v>
      </c>
      <c r="B51">
        <v>29.03</v>
      </c>
      <c r="L51" t="s">
        <v>60</v>
      </c>
      <c r="M51">
        <v>15.51</v>
      </c>
      <c r="N51">
        <v>20.02</v>
      </c>
      <c r="P51" t="s">
        <v>60</v>
      </c>
      <c r="Q51">
        <v>15.51</v>
      </c>
      <c r="R51">
        <v>20.02</v>
      </c>
    </row>
    <row r="52" spans="1:18">
      <c r="A52">
        <v>16.100000000000001</v>
      </c>
      <c r="B52">
        <v>95.91</v>
      </c>
      <c r="L52" t="s">
        <v>47</v>
      </c>
      <c r="M52">
        <v>15.3</v>
      </c>
      <c r="N52">
        <v>44.42</v>
      </c>
      <c r="P52" t="s">
        <v>47</v>
      </c>
      <c r="Q52">
        <v>15.3</v>
      </c>
      <c r="R52">
        <v>44.42</v>
      </c>
    </row>
    <row r="53" spans="1:18">
      <c r="A53">
        <v>16.190000000000001</v>
      </c>
      <c r="B53">
        <v>37.07</v>
      </c>
      <c r="L53" t="s">
        <v>80</v>
      </c>
      <c r="M53">
        <v>14.7</v>
      </c>
      <c r="N53">
        <v>27.87</v>
      </c>
      <c r="P53" t="s">
        <v>80</v>
      </c>
      <c r="Q53">
        <v>14.7</v>
      </c>
      <c r="R53">
        <v>27.87</v>
      </c>
    </row>
    <row r="54" spans="1:18">
      <c r="A54">
        <v>16.5</v>
      </c>
      <c r="B54">
        <v>75.28</v>
      </c>
      <c r="L54" t="s">
        <v>82</v>
      </c>
      <c r="M54">
        <v>20.91</v>
      </c>
      <c r="N54">
        <v>11.27</v>
      </c>
      <c r="P54" t="s">
        <v>82</v>
      </c>
      <c r="Q54">
        <v>20.91</v>
      </c>
      <c r="R54">
        <v>11.27</v>
      </c>
    </row>
    <row r="55" spans="1:18">
      <c r="A55">
        <v>16.55</v>
      </c>
      <c r="B55">
        <v>16.12</v>
      </c>
      <c r="L55" t="s">
        <v>51</v>
      </c>
      <c r="M55">
        <v>16.100000000000001</v>
      </c>
      <c r="N55">
        <v>95.91</v>
      </c>
      <c r="P55" t="s">
        <v>51</v>
      </c>
      <c r="Q55">
        <v>16.100000000000001</v>
      </c>
      <c r="R55">
        <v>95.91</v>
      </c>
    </row>
    <row r="56" spans="1:18">
      <c r="A56">
        <v>16.66</v>
      </c>
      <c r="B56">
        <v>41.98</v>
      </c>
      <c r="L56" t="s">
        <v>64</v>
      </c>
      <c r="M56">
        <v>18.52</v>
      </c>
      <c r="N56">
        <v>29.69</v>
      </c>
      <c r="P56" t="s">
        <v>64</v>
      </c>
      <c r="Q56">
        <v>18.52</v>
      </c>
      <c r="R56">
        <v>29.69</v>
      </c>
    </row>
    <row r="57" spans="1:18">
      <c r="A57">
        <v>16.75</v>
      </c>
      <c r="B57">
        <v>50.13</v>
      </c>
      <c r="L57" t="s">
        <v>79</v>
      </c>
      <c r="M57">
        <v>20.309999999999999</v>
      </c>
      <c r="N57">
        <v>22.97</v>
      </c>
      <c r="P57" t="s">
        <v>79</v>
      </c>
      <c r="Q57">
        <v>20.309999999999999</v>
      </c>
      <c r="R57">
        <v>22.97</v>
      </c>
    </row>
    <row r="58" spans="1:18">
      <c r="A58">
        <v>16.89</v>
      </c>
      <c r="B58">
        <v>230.66</v>
      </c>
      <c r="L58" t="s">
        <v>52</v>
      </c>
      <c r="M58">
        <v>15.23</v>
      </c>
      <c r="N58">
        <v>53.51</v>
      </c>
      <c r="P58" t="s">
        <v>52</v>
      </c>
      <c r="Q58">
        <v>15.23</v>
      </c>
      <c r="R58">
        <v>53.51</v>
      </c>
    </row>
    <row r="59" spans="1:18">
      <c r="A59">
        <v>17.25</v>
      </c>
      <c r="B59">
        <v>43.48</v>
      </c>
      <c r="L59" t="s">
        <v>58</v>
      </c>
      <c r="M59">
        <v>16.5</v>
      </c>
      <c r="N59">
        <v>75.28</v>
      </c>
      <c r="P59" t="s">
        <v>58</v>
      </c>
      <c r="Q59">
        <v>16.5</v>
      </c>
      <c r="R59">
        <v>75.28</v>
      </c>
    </row>
    <row r="60" spans="1:18">
      <c r="A60">
        <v>17.260000000000002</v>
      </c>
      <c r="B60">
        <v>7.31</v>
      </c>
      <c r="L60" t="s">
        <v>27</v>
      </c>
      <c r="M60">
        <v>14.7</v>
      </c>
      <c r="N60">
        <v>102.39</v>
      </c>
      <c r="P60" t="s">
        <v>27</v>
      </c>
      <c r="Q60">
        <v>14.7</v>
      </c>
      <c r="R60">
        <v>102.39</v>
      </c>
    </row>
    <row r="61" spans="1:18">
      <c r="A61">
        <v>17.8</v>
      </c>
      <c r="B61">
        <v>56.38</v>
      </c>
      <c r="L61" t="s">
        <v>73</v>
      </c>
      <c r="M61">
        <v>15.07</v>
      </c>
      <c r="N61">
        <v>29.11</v>
      </c>
      <c r="P61" t="s">
        <v>73</v>
      </c>
      <c r="Q61">
        <v>15.07</v>
      </c>
      <c r="R61">
        <v>29.11</v>
      </c>
    </row>
    <row r="62" spans="1:18">
      <c r="A62">
        <v>18.100000000000001</v>
      </c>
      <c r="B62">
        <v>111.93</v>
      </c>
      <c r="L62" t="s">
        <v>66</v>
      </c>
      <c r="M62">
        <v>18.84</v>
      </c>
      <c r="N62">
        <v>35.880000000000003</v>
      </c>
      <c r="P62" t="s">
        <v>66</v>
      </c>
      <c r="Q62">
        <v>18.84</v>
      </c>
      <c r="R62">
        <v>35.880000000000003</v>
      </c>
    </row>
    <row r="63" spans="1:18">
      <c r="A63">
        <v>18.52</v>
      </c>
      <c r="B63">
        <v>29.69</v>
      </c>
      <c r="L63" t="s">
        <v>59</v>
      </c>
      <c r="M63">
        <v>14.8</v>
      </c>
      <c r="N63">
        <v>73.5</v>
      </c>
      <c r="P63" t="s">
        <v>59</v>
      </c>
      <c r="Q63">
        <v>14.8</v>
      </c>
      <c r="R63">
        <v>73.5</v>
      </c>
    </row>
    <row r="64" spans="1:18">
      <c r="A64">
        <v>18.63</v>
      </c>
      <c r="B64">
        <v>50.32</v>
      </c>
      <c r="L64" t="s">
        <v>37</v>
      </c>
      <c r="M64">
        <v>15.55</v>
      </c>
      <c r="N64">
        <v>57.7</v>
      </c>
      <c r="P64" t="s">
        <v>37</v>
      </c>
      <c r="Q64">
        <v>15.55</v>
      </c>
      <c r="R64">
        <v>57.7</v>
      </c>
    </row>
    <row r="65" spans="1:18">
      <c r="A65">
        <v>18.71</v>
      </c>
      <c r="B65">
        <v>38.909999999999997</v>
      </c>
      <c r="L65" t="s">
        <v>78</v>
      </c>
      <c r="M65">
        <v>18.100000000000001</v>
      </c>
      <c r="N65">
        <v>111.93</v>
      </c>
      <c r="P65" t="s">
        <v>78</v>
      </c>
      <c r="Q65">
        <v>18.100000000000001</v>
      </c>
      <c r="R65">
        <v>111.93</v>
      </c>
    </row>
    <row r="66" spans="1:18">
      <c r="A66">
        <v>18.84</v>
      </c>
      <c r="B66">
        <v>35.880000000000003</v>
      </c>
      <c r="L66" t="s">
        <v>56</v>
      </c>
      <c r="M66">
        <v>16.89</v>
      </c>
      <c r="N66">
        <v>230.66</v>
      </c>
      <c r="P66" t="s">
        <v>56</v>
      </c>
      <c r="Q66">
        <v>16.89</v>
      </c>
      <c r="R66">
        <v>230.66</v>
      </c>
    </row>
    <row r="67" spans="1:18">
      <c r="A67">
        <v>19.100000000000001</v>
      </c>
      <c r="B67">
        <v>62.29</v>
      </c>
      <c r="L67" t="s">
        <v>61</v>
      </c>
      <c r="M67">
        <v>16.55</v>
      </c>
      <c r="N67">
        <v>16.12</v>
      </c>
      <c r="P67" t="s">
        <v>61</v>
      </c>
      <c r="Q67">
        <v>16.55</v>
      </c>
      <c r="R67">
        <v>16.12</v>
      </c>
    </row>
    <row r="68" spans="1:18">
      <c r="A68">
        <v>19.43</v>
      </c>
      <c r="B68">
        <v>25.22</v>
      </c>
      <c r="L68" t="s">
        <v>74</v>
      </c>
      <c r="M68">
        <v>16.75</v>
      </c>
      <c r="N68">
        <v>50.13</v>
      </c>
      <c r="P68" t="s">
        <v>74</v>
      </c>
      <c r="Q68">
        <v>16.75</v>
      </c>
      <c r="R68">
        <v>50.13</v>
      </c>
    </row>
    <row r="69" spans="1:18">
      <c r="A69">
        <v>19.649999999999999</v>
      </c>
      <c r="B69">
        <v>5.36</v>
      </c>
      <c r="L69" t="s">
        <v>36</v>
      </c>
      <c r="M69">
        <v>15.72</v>
      </c>
      <c r="N69">
        <v>65.569999999999993</v>
      </c>
      <c r="P69" t="s">
        <v>36</v>
      </c>
      <c r="Q69">
        <v>15.72</v>
      </c>
      <c r="R69">
        <v>65.569999999999993</v>
      </c>
    </row>
    <row r="70" spans="1:18">
      <c r="A70">
        <v>19.72</v>
      </c>
      <c r="B70">
        <v>48.16</v>
      </c>
      <c r="L70" t="s">
        <v>55</v>
      </c>
      <c r="M70">
        <v>16.03</v>
      </c>
      <c r="N70">
        <v>11.66</v>
      </c>
      <c r="P70" t="s">
        <v>55</v>
      </c>
      <c r="Q70">
        <v>16.03</v>
      </c>
      <c r="R70">
        <v>11.66</v>
      </c>
    </row>
    <row r="71" spans="1:18">
      <c r="A71">
        <v>19.89</v>
      </c>
      <c r="B71">
        <v>0</v>
      </c>
      <c r="L71" t="s">
        <v>75</v>
      </c>
      <c r="M71">
        <v>17.260000000000002</v>
      </c>
      <c r="N71">
        <v>7.31</v>
      </c>
      <c r="P71" t="s">
        <v>75</v>
      </c>
      <c r="Q71">
        <v>17.260000000000002</v>
      </c>
      <c r="R71">
        <v>7.31</v>
      </c>
    </row>
    <row r="72" spans="1:18">
      <c r="A72">
        <v>20.309999999999999</v>
      </c>
      <c r="B72">
        <v>22.97</v>
      </c>
      <c r="L72" t="s">
        <v>35</v>
      </c>
      <c r="M72">
        <v>14</v>
      </c>
      <c r="N72">
        <v>29.24</v>
      </c>
      <c r="P72" t="s">
        <v>35</v>
      </c>
      <c r="Q72">
        <v>14</v>
      </c>
      <c r="R72">
        <v>29.24</v>
      </c>
    </row>
    <row r="73" spans="1:18">
      <c r="A73">
        <v>20.79</v>
      </c>
      <c r="B73">
        <v>0</v>
      </c>
      <c r="L73" t="s">
        <v>76</v>
      </c>
      <c r="M73">
        <v>16.190000000000001</v>
      </c>
      <c r="N73">
        <v>37.07</v>
      </c>
      <c r="P73" t="s">
        <v>76</v>
      </c>
      <c r="Q73">
        <v>16.190000000000001</v>
      </c>
      <c r="R73">
        <v>37.07</v>
      </c>
    </row>
    <row r="74" spans="1:18">
      <c r="A74">
        <v>20.91</v>
      </c>
      <c r="B74">
        <v>11.27</v>
      </c>
      <c r="L74" t="s">
        <v>70</v>
      </c>
      <c r="M74">
        <v>19.72</v>
      </c>
      <c r="N74">
        <v>48.16</v>
      </c>
      <c r="P74" t="s">
        <v>70</v>
      </c>
      <c r="Q74">
        <v>19.72</v>
      </c>
      <c r="R74">
        <v>48.16</v>
      </c>
    </row>
    <row r="75" spans="1:18">
      <c r="A75">
        <v>21.2</v>
      </c>
      <c r="B75">
        <v>31.43</v>
      </c>
      <c r="L75" t="s">
        <v>53</v>
      </c>
      <c r="M75">
        <v>16.66</v>
      </c>
      <c r="N75">
        <v>41.98</v>
      </c>
      <c r="P75" t="s">
        <v>53</v>
      </c>
      <c r="Q75">
        <v>16.66</v>
      </c>
      <c r="R75">
        <v>41.98</v>
      </c>
    </row>
    <row r="76" spans="1:18">
      <c r="L76" t="s">
        <v>72</v>
      </c>
      <c r="M76">
        <v>19.100000000000001</v>
      </c>
      <c r="N76">
        <v>62.29</v>
      </c>
      <c r="P76" t="s">
        <v>72</v>
      </c>
      <c r="Q76">
        <v>19.100000000000001</v>
      </c>
      <c r="R76">
        <v>62.29</v>
      </c>
    </row>
    <row r="77" spans="1:18">
      <c r="L77" t="s">
        <v>84</v>
      </c>
      <c r="M77">
        <v>20.79</v>
      </c>
      <c r="N77">
        <v>0</v>
      </c>
      <c r="P77" t="s">
        <v>84</v>
      </c>
      <c r="Q77">
        <v>20.79</v>
      </c>
      <c r="R77">
        <v>0</v>
      </c>
    </row>
    <row r="78" spans="1:18">
      <c r="L78" t="s">
        <v>33</v>
      </c>
      <c r="M78">
        <v>12.83</v>
      </c>
      <c r="N78">
        <v>39.57</v>
      </c>
      <c r="P78" t="s">
        <v>33</v>
      </c>
      <c r="Q78">
        <v>12.83</v>
      </c>
      <c r="R78">
        <v>39.57</v>
      </c>
    </row>
    <row r="82" spans="1:3">
      <c r="A82" s="1" t="s">
        <v>1</v>
      </c>
      <c r="B82" t="s">
        <v>110</v>
      </c>
      <c r="C82" t="s">
        <v>96</v>
      </c>
    </row>
    <row r="83" spans="1:3">
      <c r="A83" t="s">
        <v>43</v>
      </c>
      <c r="B83">
        <v>38.21</v>
      </c>
      <c r="C83">
        <v>101</v>
      </c>
    </row>
    <row r="84" spans="1:3">
      <c r="A84" t="s">
        <v>35</v>
      </c>
      <c r="B84">
        <v>29.24</v>
      </c>
      <c r="C84">
        <v>103</v>
      </c>
    </row>
    <row r="85" spans="1:3">
      <c r="A85" t="s">
        <v>50</v>
      </c>
      <c r="B85">
        <v>30.2</v>
      </c>
      <c r="C85">
        <v>104</v>
      </c>
    </row>
    <row r="86" spans="1:3">
      <c r="A86" t="s">
        <v>40</v>
      </c>
      <c r="B86">
        <v>29.52</v>
      </c>
      <c r="C86">
        <v>107</v>
      </c>
    </row>
    <row r="87" spans="1:3">
      <c r="A87" t="s">
        <v>32</v>
      </c>
      <c r="B87">
        <v>36.74</v>
      </c>
      <c r="C87">
        <v>107</v>
      </c>
    </row>
    <row r="88" spans="1:3">
      <c r="A88" t="s">
        <v>33</v>
      </c>
      <c r="B88">
        <v>39.57</v>
      </c>
      <c r="C88">
        <v>113</v>
      </c>
    </row>
    <row r="89" spans="1:3">
      <c r="A89" t="s">
        <v>54</v>
      </c>
      <c r="B89">
        <v>50.81</v>
      </c>
      <c r="C89">
        <v>122</v>
      </c>
    </row>
    <row r="90" spans="1:3">
      <c r="A90" t="s">
        <v>48</v>
      </c>
      <c r="B90">
        <v>32.46</v>
      </c>
      <c r="C90">
        <v>124</v>
      </c>
    </row>
    <row r="91" spans="1:3">
      <c r="A91" t="s">
        <v>52</v>
      </c>
      <c r="B91">
        <v>53.51</v>
      </c>
      <c r="C91">
        <v>147</v>
      </c>
    </row>
    <row r="92" spans="1:3">
      <c r="A92" t="s">
        <v>38</v>
      </c>
      <c r="B92">
        <v>21.18</v>
      </c>
      <c r="C92">
        <v>160</v>
      </c>
    </row>
    <row r="98" spans="1:8">
      <c r="A98" s="1" t="s">
        <v>1</v>
      </c>
      <c r="B98" t="s">
        <v>108</v>
      </c>
      <c r="C98" t="s">
        <v>111</v>
      </c>
      <c r="F98" t="s">
        <v>1</v>
      </c>
      <c r="G98" t="s">
        <v>108</v>
      </c>
      <c r="H98" t="s">
        <v>5</v>
      </c>
    </row>
    <row r="99" spans="1:8">
      <c r="A99" t="s">
        <v>56</v>
      </c>
      <c r="B99">
        <v>0.99</v>
      </c>
      <c r="C99">
        <v>12256.05</v>
      </c>
      <c r="F99" t="s">
        <v>56</v>
      </c>
      <c r="G99">
        <v>0.99</v>
      </c>
      <c r="H99">
        <v>12256.05</v>
      </c>
    </row>
    <row r="100" spans="1:8">
      <c r="A100" t="s">
        <v>37</v>
      </c>
      <c r="B100">
        <v>0.97</v>
      </c>
      <c r="C100">
        <v>7772.3</v>
      </c>
      <c r="F100" t="s">
        <v>37</v>
      </c>
      <c r="G100">
        <v>0.97</v>
      </c>
      <c r="H100">
        <v>7772.3</v>
      </c>
    </row>
    <row r="101" spans="1:8">
      <c r="A101" t="s">
        <v>51</v>
      </c>
      <c r="B101">
        <v>0.97</v>
      </c>
      <c r="C101">
        <v>7172</v>
      </c>
      <c r="F101" t="s">
        <v>51</v>
      </c>
      <c r="G101">
        <v>0.97</v>
      </c>
      <c r="H101">
        <v>7172</v>
      </c>
    </row>
    <row r="102" spans="1:8">
      <c r="A102" t="s">
        <v>36</v>
      </c>
      <c r="B102">
        <v>0.96</v>
      </c>
      <c r="C102">
        <v>6637.89</v>
      </c>
      <c r="F102" t="s">
        <v>36</v>
      </c>
      <c r="G102">
        <v>0.96</v>
      </c>
      <c r="H102">
        <v>6637.89</v>
      </c>
    </row>
    <row r="103" spans="1:8">
      <c r="A103" t="s">
        <v>64</v>
      </c>
      <c r="B103">
        <v>0.96</v>
      </c>
      <c r="C103">
        <v>2919.75</v>
      </c>
      <c r="F103" t="s">
        <v>64</v>
      </c>
      <c r="G103">
        <v>0.96</v>
      </c>
      <c r="H103">
        <v>2919.75</v>
      </c>
    </row>
    <row r="104" spans="1:8">
      <c r="A104" t="s">
        <v>59</v>
      </c>
      <c r="B104">
        <v>0.95</v>
      </c>
      <c r="C104">
        <v>10766.04</v>
      </c>
      <c r="F104" t="s">
        <v>59</v>
      </c>
      <c r="G104">
        <v>0.95</v>
      </c>
      <c r="H104">
        <v>10766.04</v>
      </c>
    </row>
    <row r="105" spans="1:8">
      <c r="A105" t="s">
        <v>75</v>
      </c>
      <c r="B105">
        <v>0.95</v>
      </c>
      <c r="C105">
        <v>2775.04</v>
      </c>
      <c r="F105" t="s">
        <v>75</v>
      </c>
      <c r="G105">
        <v>0.95</v>
      </c>
      <c r="H105">
        <v>2775.04</v>
      </c>
    </row>
    <row r="106" spans="1:8">
      <c r="A106" t="s">
        <v>67</v>
      </c>
      <c r="B106">
        <v>0.93</v>
      </c>
      <c r="C106">
        <v>4645.4799999999996</v>
      </c>
      <c r="F106" t="s">
        <v>67</v>
      </c>
      <c r="G106">
        <v>0.93</v>
      </c>
      <c r="H106">
        <v>4645.4799999999996</v>
      </c>
    </row>
    <row r="107" spans="1:8">
      <c r="A107" t="s">
        <v>44</v>
      </c>
      <c r="B107">
        <v>0.93</v>
      </c>
      <c r="C107">
        <v>7233.71</v>
      </c>
      <c r="F107" t="s">
        <v>44</v>
      </c>
      <c r="G107">
        <v>0.93</v>
      </c>
      <c r="H107">
        <v>7233.71</v>
      </c>
    </row>
    <row r="108" spans="1:8">
      <c r="A108" t="s">
        <v>58</v>
      </c>
      <c r="B108">
        <v>0.93</v>
      </c>
      <c r="C108">
        <v>6749.32</v>
      </c>
      <c r="F108" t="s">
        <v>58</v>
      </c>
      <c r="G108">
        <v>0.93</v>
      </c>
      <c r="H108">
        <v>6749.32</v>
      </c>
    </row>
    <row r="109" spans="1:8">
      <c r="A109" t="s">
        <v>31</v>
      </c>
      <c r="B109">
        <v>0.91</v>
      </c>
      <c r="C109">
        <v>9036.77</v>
      </c>
      <c r="F109" t="s">
        <v>31</v>
      </c>
      <c r="G109">
        <v>0.91</v>
      </c>
      <c r="H109">
        <v>9036.77</v>
      </c>
    </row>
    <row r="110" spans="1:8">
      <c r="A110" t="s">
        <v>65</v>
      </c>
      <c r="B110">
        <v>0.91</v>
      </c>
      <c r="C110">
        <v>5087.62</v>
      </c>
      <c r="F110" t="s">
        <v>65</v>
      </c>
      <c r="G110">
        <v>0.91</v>
      </c>
      <c r="H110">
        <v>5087.62</v>
      </c>
    </row>
    <row r="111" spans="1:8">
      <c r="A111" t="s">
        <v>66</v>
      </c>
      <c r="B111">
        <v>0.9</v>
      </c>
      <c r="C111">
        <v>2831.03</v>
      </c>
      <c r="F111" t="s">
        <v>66</v>
      </c>
      <c r="G111">
        <v>0.9</v>
      </c>
      <c r="H111">
        <v>2831.03</v>
      </c>
    </row>
    <row r="112" spans="1:8">
      <c r="A112" t="s">
        <v>74</v>
      </c>
      <c r="B112">
        <v>0.89</v>
      </c>
      <c r="C112">
        <v>5217.3599999999997</v>
      </c>
      <c r="F112" t="s">
        <v>74</v>
      </c>
      <c r="G112">
        <v>0.89</v>
      </c>
      <c r="H112">
        <v>5217.3599999999997</v>
      </c>
    </row>
    <row r="113" spans="1:8">
      <c r="A113" t="s">
        <v>41</v>
      </c>
      <c r="B113">
        <v>0.89</v>
      </c>
      <c r="C113">
        <v>6132.42</v>
      </c>
      <c r="F113" t="s">
        <v>41</v>
      </c>
      <c r="G113">
        <v>0.89</v>
      </c>
      <c r="H113">
        <v>6132.42</v>
      </c>
    </row>
    <row r="114" spans="1:8">
      <c r="A114" t="s">
        <v>27</v>
      </c>
      <c r="B114">
        <v>0.86</v>
      </c>
      <c r="C114">
        <v>7630.01</v>
      </c>
      <c r="F114" t="s">
        <v>27</v>
      </c>
      <c r="G114">
        <v>0.86</v>
      </c>
      <c r="H114">
        <v>7630.01</v>
      </c>
    </row>
    <row r="115" spans="1:8">
      <c r="A115" t="s">
        <v>81</v>
      </c>
      <c r="B115">
        <v>0.86</v>
      </c>
      <c r="C115">
        <v>1964.48</v>
      </c>
      <c r="F115" t="s">
        <v>81</v>
      </c>
      <c r="G115">
        <v>0.86</v>
      </c>
      <c r="H115">
        <v>1964.48</v>
      </c>
    </row>
    <row r="116" spans="1:8">
      <c r="A116" t="s">
        <v>63</v>
      </c>
      <c r="B116">
        <v>0.86</v>
      </c>
      <c r="C116">
        <v>6759.59</v>
      </c>
      <c r="F116" t="s">
        <v>63</v>
      </c>
      <c r="G116">
        <v>0.86</v>
      </c>
      <c r="H116">
        <v>6759.59</v>
      </c>
    </row>
    <row r="117" spans="1:8">
      <c r="A117" t="s">
        <v>42</v>
      </c>
      <c r="B117">
        <v>0.85</v>
      </c>
      <c r="C117">
        <v>6888.35</v>
      </c>
      <c r="F117" t="s">
        <v>42</v>
      </c>
      <c r="G117">
        <v>0.85</v>
      </c>
      <c r="H117">
        <v>6888.35</v>
      </c>
    </row>
    <row r="118" spans="1:8">
      <c r="A118" t="s">
        <v>47</v>
      </c>
      <c r="B118">
        <v>0.85</v>
      </c>
      <c r="C118">
        <v>6410.78</v>
      </c>
      <c r="F118" t="s">
        <v>47</v>
      </c>
      <c r="G118">
        <v>0.85</v>
      </c>
      <c r="H118">
        <v>6410.78</v>
      </c>
    </row>
    <row r="119" spans="1:8">
      <c r="A119" t="s">
        <v>45</v>
      </c>
      <c r="B119">
        <v>0.84</v>
      </c>
      <c r="C119">
        <v>3905.25</v>
      </c>
      <c r="F119" t="s">
        <v>45</v>
      </c>
      <c r="G119">
        <v>0.84</v>
      </c>
      <c r="H119">
        <v>3905.25</v>
      </c>
    </row>
    <row r="120" spans="1:8">
      <c r="A120" t="s">
        <v>53</v>
      </c>
      <c r="B120">
        <v>0.83</v>
      </c>
      <c r="C120">
        <v>3230.93</v>
      </c>
      <c r="F120" t="s">
        <v>53</v>
      </c>
      <c r="G120">
        <v>0.83</v>
      </c>
      <c r="H120">
        <v>3230.93</v>
      </c>
    </row>
    <row r="121" spans="1:8">
      <c r="A121" t="s">
        <v>30</v>
      </c>
      <c r="B121">
        <v>0.83</v>
      </c>
      <c r="C121">
        <v>7476.38</v>
      </c>
      <c r="F121" t="s">
        <v>30</v>
      </c>
      <c r="G121">
        <v>0.83</v>
      </c>
      <c r="H121">
        <v>7476.38</v>
      </c>
    </row>
    <row r="122" spans="1:8">
      <c r="A122" t="s">
        <v>61</v>
      </c>
      <c r="B122">
        <v>0.83</v>
      </c>
      <c r="C122">
        <v>1291.51</v>
      </c>
      <c r="F122" t="s">
        <v>61</v>
      </c>
      <c r="G122">
        <v>0.83</v>
      </c>
      <c r="H122">
        <v>1291.51</v>
      </c>
    </row>
    <row r="123" spans="1:8">
      <c r="A123" t="s">
        <v>79</v>
      </c>
      <c r="B123">
        <v>0.83</v>
      </c>
      <c r="C123">
        <v>1441.37</v>
      </c>
      <c r="F123" t="s">
        <v>79</v>
      </c>
      <c r="G123">
        <v>0.83</v>
      </c>
      <c r="H123">
        <v>1441.37</v>
      </c>
    </row>
    <row r="124" spans="1:8">
      <c r="A124" t="s">
        <v>34</v>
      </c>
      <c r="B124">
        <v>0.77</v>
      </c>
      <c r="C124">
        <v>4291.16</v>
      </c>
      <c r="F124" t="s">
        <v>34</v>
      </c>
      <c r="G124">
        <v>0.77</v>
      </c>
      <c r="H124">
        <v>4291.16</v>
      </c>
    </row>
    <row r="125" spans="1:8">
      <c r="A125" t="s">
        <v>82</v>
      </c>
      <c r="B125">
        <v>0.77</v>
      </c>
      <c r="C125">
        <v>3616.49</v>
      </c>
      <c r="F125" t="s">
        <v>82</v>
      </c>
      <c r="G125">
        <v>0.77</v>
      </c>
      <c r="H125">
        <v>3616.49</v>
      </c>
    </row>
    <row r="126" spans="1:8">
      <c r="A126" t="s">
        <v>76</v>
      </c>
      <c r="B126">
        <v>0.76</v>
      </c>
      <c r="C126">
        <v>6256.08</v>
      </c>
      <c r="F126" t="s">
        <v>76</v>
      </c>
      <c r="G126">
        <v>0.76</v>
      </c>
      <c r="H126">
        <v>6256.08</v>
      </c>
    </row>
    <row r="127" spans="1:8">
      <c r="A127" t="s">
        <v>71</v>
      </c>
      <c r="B127">
        <v>0.75</v>
      </c>
      <c r="C127">
        <v>2691.3</v>
      </c>
      <c r="F127" t="s">
        <v>71</v>
      </c>
      <c r="G127">
        <v>0.75</v>
      </c>
      <c r="H127">
        <v>2691.3</v>
      </c>
    </row>
    <row r="128" spans="1:8">
      <c r="A128" t="s">
        <v>57</v>
      </c>
      <c r="B128">
        <v>0.75</v>
      </c>
      <c r="C128">
        <v>4492.6000000000004</v>
      </c>
      <c r="F128" t="s">
        <v>57</v>
      </c>
      <c r="G128">
        <v>0.75</v>
      </c>
      <c r="H128">
        <v>4492.6000000000004</v>
      </c>
    </row>
    <row r="129" spans="1:8">
      <c r="A129" t="s">
        <v>54</v>
      </c>
      <c r="B129">
        <v>0.73</v>
      </c>
      <c r="C129">
        <v>3770.19</v>
      </c>
      <c r="F129" t="s">
        <v>54</v>
      </c>
      <c r="G129">
        <v>0.73</v>
      </c>
      <c r="H129">
        <v>3770.19</v>
      </c>
    </row>
    <row r="130" spans="1:8">
      <c r="A130" t="s">
        <v>28</v>
      </c>
      <c r="B130">
        <v>0.7</v>
      </c>
      <c r="C130">
        <v>4686.72</v>
      </c>
      <c r="F130" t="s">
        <v>28</v>
      </c>
      <c r="G130">
        <v>0.7</v>
      </c>
      <c r="H130">
        <v>4686.72</v>
      </c>
    </row>
    <row r="131" spans="1:8">
      <c r="A131" t="s">
        <v>73</v>
      </c>
      <c r="B131">
        <v>0.64</v>
      </c>
      <c r="C131">
        <v>15164.94</v>
      </c>
      <c r="F131" t="s">
        <v>73</v>
      </c>
      <c r="G131">
        <v>0.64</v>
      </c>
      <c r="H131">
        <v>15164.94</v>
      </c>
    </row>
    <row r="132" spans="1:8">
      <c r="A132" t="s">
        <v>46</v>
      </c>
      <c r="B132">
        <v>0.63</v>
      </c>
      <c r="C132">
        <v>4332.47</v>
      </c>
      <c r="F132" t="s">
        <v>46</v>
      </c>
      <c r="G132">
        <v>0.63</v>
      </c>
      <c r="H132">
        <v>4332.47</v>
      </c>
    </row>
    <row r="133" spans="1:8">
      <c r="A133" t="s">
        <v>60</v>
      </c>
      <c r="B133">
        <v>0.62</v>
      </c>
      <c r="C133">
        <v>4104.29</v>
      </c>
      <c r="F133" t="s">
        <v>60</v>
      </c>
      <c r="G133">
        <v>0.62</v>
      </c>
      <c r="H133">
        <v>4104.29</v>
      </c>
    </row>
    <row r="134" spans="1:8">
      <c r="A134" t="s">
        <v>39</v>
      </c>
      <c r="B134">
        <v>0.61</v>
      </c>
      <c r="C134">
        <v>4659.12</v>
      </c>
      <c r="F134" t="s">
        <v>39</v>
      </c>
      <c r="G134">
        <v>0.61</v>
      </c>
      <c r="H134">
        <v>4659.12</v>
      </c>
    </row>
    <row r="135" spans="1:8">
      <c r="A135" t="s">
        <v>50</v>
      </c>
      <c r="B135">
        <v>0.61</v>
      </c>
      <c r="C135">
        <v>3182.76</v>
      </c>
      <c r="F135" t="s">
        <v>50</v>
      </c>
      <c r="G135">
        <v>0.61</v>
      </c>
      <c r="H135">
        <v>3182.76</v>
      </c>
    </row>
    <row r="136" spans="1:8">
      <c r="A136" t="s">
        <v>69</v>
      </c>
      <c r="B136">
        <v>0.6</v>
      </c>
      <c r="C136">
        <v>5485.77</v>
      </c>
      <c r="F136" t="s">
        <v>69</v>
      </c>
      <c r="G136">
        <v>0.6</v>
      </c>
      <c r="H136">
        <v>5485.77</v>
      </c>
    </row>
    <row r="137" spans="1:8">
      <c r="A137" t="s">
        <v>72</v>
      </c>
      <c r="B137">
        <v>0.59</v>
      </c>
      <c r="C137">
        <v>6270.6</v>
      </c>
      <c r="F137" t="s">
        <v>72</v>
      </c>
      <c r="G137">
        <v>0.59</v>
      </c>
      <c r="H137">
        <v>6270.6</v>
      </c>
    </row>
    <row r="138" spans="1:8">
      <c r="A138" t="s">
        <v>68</v>
      </c>
      <c r="B138">
        <v>0.56999999999999995</v>
      </c>
      <c r="C138">
        <v>6103.32</v>
      </c>
      <c r="F138" t="s">
        <v>68</v>
      </c>
      <c r="G138">
        <v>0.56999999999999995</v>
      </c>
      <c r="H138">
        <v>6103.32</v>
      </c>
    </row>
    <row r="139" spans="1:8">
      <c r="A139" t="s">
        <v>29</v>
      </c>
      <c r="B139">
        <v>0.56000000000000005</v>
      </c>
      <c r="C139">
        <v>5235.66</v>
      </c>
      <c r="F139" t="s">
        <v>29</v>
      </c>
      <c r="G139">
        <v>0.56000000000000005</v>
      </c>
      <c r="H139">
        <v>5235.66</v>
      </c>
    </row>
    <row r="140" spans="1:8">
      <c r="A140" t="s">
        <v>78</v>
      </c>
      <c r="B140">
        <v>0.53</v>
      </c>
      <c r="C140">
        <v>3190.06</v>
      </c>
      <c r="F140" t="s">
        <v>78</v>
      </c>
      <c r="G140">
        <v>0.53</v>
      </c>
      <c r="H140">
        <v>3190.06</v>
      </c>
    </row>
    <row r="141" spans="1:8">
      <c r="A141" t="s">
        <v>33</v>
      </c>
      <c r="B141">
        <v>0.52</v>
      </c>
      <c r="C141">
        <v>3108.67</v>
      </c>
      <c r="F141" t="s">
        <v>33</v>
      </c>
      <c r="G141">
        <v>0.52</v>
      </c>
      <c r="H141">
        <v>3108.67</v>
      </c>
    </row>
    <row r="142" spans="1:8">
      <c r="A142" t="s">
        <v>43</v>
      </c>
      <c r="B142">
        <v>0.51</v>
      </c>
      <c r="C142">
        <v>3792.07</v>
      </c>
      <c r="F142" t="s">
        <v>43</v>
      </c>
      <c r="G142">
        <v>0.51</v>
      </c>
      <c r="H142">
        <v>3792.07</v>
      </c>
    </row>
    <row r="143" spans="1:8">
      <c r="A143" t="s">
        <v>84</v>
      </c>
      <c r="B143">
        <v>0.5</v>
      </c>
      <c r="C143">
        <v>5760.58</v>
      </c>
      <c r="F143" t="s">
        <v>84</v>
      </c>
      <c r="G143">
        <v>0.5</v>
      </c>
      <c r="H143">
        <v>5760.58</v>
      </c>
    </row>
    <row r="144" spans="1:8">
      <c r="A144" t="s">
        <v>35</v>
      </c>
      <c r="B144">
        <v>0.47</v>
      </c>
      <c r="C144">
        <v>3552.58</v>
      </c>
      <c r="F144" t="s">
        <v>35</v>
      </c>
      <c r="G144">
        <v>0.47</v>
      </c>
      <c r="H144">
        <v>3552.58</v>
      </c>
    </row>
    <row r="145" spans="1:8">
      <c r="A145" t="s">
        <v>49</v>
      </c>
      <c r="B145">
        <v>0.45</v>
      </c>
      <c r="C145">
        <v>3713.17</v>
      </c>
      <c r="F145" t="s">
        <v>49</v>
      </c>
      <c r="G145">
        <v>0.45</v>
      </c>
      <c r="H145">
        <v>3713.17</v>
      </c>
    </row>
    <row r="146" spans="1:8">
      <c r="A146" t="s">
        <v>38</v>
      </c>
      <c r="B146">
        <v>0.43</v>
      </c>
      <c r="C146">
        <v>2645.1</v>
      </c>
      <c r="F146" t="s">
        <v>38</v>
      </c>
      <c r="G146">
        <v>0.43</v>
      </c>
      <c r="H146">
        <v>2645.1</v>
      </c>
    </row>
    <row r="147" spans="1:8">
      <c r="A147" t="s">
        <v>80</v>
      </c>
      <c r="B147">
        <v>0.42</v>
      </c>
      <c r="C147">
        <v>6033.16</v>
      </c>
      <c r="F147" t="s">
        <v>80</v>
      </c>
      <c r="G147">
        <v>0.42</v>
      </c>
      <c r="H147">
        <v>6033.16</v>
      </c>
    </row>
    <row r="148" spans="1:8">
      <c r="A148" t="s">
        <v>77</v>
      </c>
      <c r="B148">
        <v>0.4</v>
      </c>
      <c r="C148">
        <v>2127.5500000000002</v>
      </c>
      <c r="F148" t="s">
        <v>77</v>
      </c>
      <c r="G148">
        <v>0.4</v>
      </c>
      <c r="H148">
        <v>2127.5500000000002</v>
      </c>
    </row>
    <row r="149" spans="1:8">
      <c r="A149" t="s">
        <v>32</v>
      </c>
      <c r="B149">
        <v>0.37</v>
      </c>
      <c r="C149">
        <v>3615.92</v>
      </c>
      <c r="F149" t="s">
        <v>32</v>
      </c>
      <c r="G149">
        <v>0.37</v>
      </c>
      <c r="H149">
        <v>3615.92</v>
      </c>
    </row>
    <row r="150" spans="1:8">
      <c r="A150" t="s">
        <v>52</v>
      </c>
      <c r="B150">
        <v>0.33</v>
      </c>
      <c r="C150">
        <v>3772.49</v>
      </c>
      <c r="F150" t="s">
        <v>52</v>
      </c>
      <c r="G150">
        <v>0.33</v>
      </c>
      <c r="H150">
        <v>3772.49</v>
      </c>
    </row>
    <row r="151" spans="1:8">
      <c r="A151" t="s">
        <v>70</v>
      </c>
      <c r="B151">
        <v>0.32</v>
      </c>
      <c r="C151">
        <v>2471.4899999999998</v>
      </c>
      <c r="F151" t="s">
        <v>70</v>
      </c>
      <c r="G151">
        <v>0.32</v>
      </c>
      <c r="H151">
        <v>2471.4899999999998</v>
      </c>
    </row>
    <row r="152" spans="1:8">
      <c r="A152" t="s">
        <v>83</v>
      </c>
      <c r="B152">
        <v>0.28000000000000003</v>
      </c>
      <c r="C152">
        <v>766.16</v>
      </c>
      <c r="F152" t="s">
        <v>83</v>
      </c>
      <c r="G152">
        <v>0.28000000000000003</v>
      </c>
      <c r="H152">
        <v>766.16</v>
      </c>
    </row>
    <row r="153" spans="1:8">
      <c r="A153" t="s">
        <v>40</v>
      </c>
      <c r="B153">
        <v>0.26</v>
      </c>
      <c r="C153">
        <v>3197.81</v>
      </c>
      <c r="F153" t="s">
        <v>40</v>
      </c>
      <c r="G153">
        <v>0.26</v>
      </c>
      <c r="H153">
        <v>3197.81</v>
      </c>
    </row>
    <row r="154" spans="1:8">
      <c r="A154" t="s">
        <v>55</v>
      </c>
      <c r="B154">
        <v>0.23</v>
      </c>
      <c r="C154">
        <v>2961.64</v>
      </c>
      <c r="F154" t="s">
        <v>55</v>
      </c>
      <c r="G154">
        <v>0.23</v>
      </c>
      <c r="H154">
        <v>2961.64</v>
      </c>
    </row>
    <row r="155" spans="1:8">
      <c r="A155" t="s">
        <v>62</v>
      </c>
      <c r="B155">
        <v>0.22</v>
      </c>
      <c r="C155">
        <v>2624.61</v>
      </c>
      <c r="F155" t="s">
        <v>62</v>
      </c>
      <c r="G155">
        <v>0.22</v>
      </c>
      <c r="H155">
        <v>2624.61</v>
      </c>
    </row>
    <row r="156" spans="1:8">
      <c r="A156" t="s">
        <v>48</v>
      </c>
      <c r="B156">
        <v>0.18</v>
      </c>
      <c r="C156">
        <v>3571.4</v>
      </c>
      <c r="F156" t="s">
        <v>48</v>
      </c>
      <c r="G156">
        <v>0.18</v>
      </c>
      <c r="H156">
        <v>3571.4</v>
      </c>
    </row>
  </sheetData>
  <conditionalFormatting sqref="C81:C97">
    <cfRule type="colorScale" priority="2">
      <colorScale>
        <cfvo type="min"/>
        <cfvo type="max"/>
        <color rgb="FFFCFCFF"/>
        <color rgb="FFF8696B"/>
      </colorScale>
    </cfRule>
  </conditionalFormatting>
  <conditionalFormatting sqref="C98:C15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Timothy Tam</cp:lastModifiedBy>
  <cp:revision/>
  <dcterms:created xsi:type="dcterms:W3CDTF">2026-03-24T22:07:42Z</dcterms:created>
  <dcterms:modified xsi:type="dcterms:W3CDTF">2026-03-29T00:07:02Z</dcterms:modified>
  <cp:category/>
  <cp:contentStatus/>
</cp:coreProperties>
</file>